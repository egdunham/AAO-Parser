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006"/>
  <workbookPr defaultThemeVersion="166925"/>
  <xr:revisionPtr revIDLastSave="541" documentId="11_E60897F41BE170836B02CE998F75CCDC64E183C8" xr6:coauthVersionLast="47" xr6:coauthVersionMax="47" xr10:uidLastSave="{7F21F182-6BD2-48E0-82F8-B9DC7F62BD94}"/>
  <bookViews>
    <workbookView xWindow="240" yWindow="105" windowWidth="14805" windowHeight="8010" activeTab="2" xr2:uid="{00000000-000D-0000-FFFF-FFFF00000000}"/>
  </bookViews>
  <sheets>
    <sheet name="All_FindingAids" sheetId="1" r:id="rId1"/>
    <sheet name="CL.PAM.SG.FEA" sheetId="2" r:id="rId2"/>
    <sheet name="CL.SP.MARS" sheetId="4" r:id="rId3"/>
    <sheet name="CL.SP.AAG" sheetId="5" r:id="rId4"/>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39" i="1" l="1"/>
  <c r="C39" i="1"/>
  <c r="B39" i="1"/>
</calcChain>
</file>

<file path=xl/sharedStrings.xml><?xml version="1.0" encoding="utf-8"?>
<sst xmlns="http://schemas.openxmlformats.org/spreadsheetml/2006/main" count="2089" uniqueCount="501">
  <si>
    <t>FILE INFO</t>
  </si>
  <si>
    <t>Finding aid title</t>
  </si>
  <si>
    <t>Friends of European Art (FEA) Records, 1997-2017</t>
  </si>
  <si>
    <t>Movimiento Artístico del Río Salado (MARS) Collection 1982-2025</t>
  </si>
  <si>
    <t xml:space="preserve">Arizona Artists Guild Records 1928-2013 </t>
  </si>
  <si>
    <t xml:space="preserve">Jeanette Shambaugh Elliott Papers, 1958-1991 </t>
  </si>
  <si>
    <t>Finding aid author</t>
  </si>
  <si>
    <t>Juniper Shutters</t>
  </si>
  <si>
    <t>Aspen Reynolds</t>
  </si>
  <si>
    <t>Publisher</t>
  </si>
  <si>
    <t>Phoenix Art Museum Archives</t>
  </si>
  <si>
    <t>Address</t>
  </si>
  <si>
    <t>1625 N Central Ave Phoenix AZ 85004</t>
  </si>
  <si>
    <t>1627 N Central Ave Phoenix AZ 85004</t>
  </si>
  <si>
    <t>1628 N Central Ave Phoenix AZ 85004</t>
  </si>
  <si>
    <t>1626 N Central Ave Phoenix AZ 85004</t>
  </si>
  <si>
    <t>1629 N Central Ave Phoenix AZ 85004</t>
  </si>
  <si>
    <t>1630 N Central Ave Phoenix AZ 85004</t>
  </si>
  <si>
    <t>1631 N Central Ave Phoenix AZ 85004</t>
  </si>
  <si>
    <t>1632 N Central Ave Phoenix AZ 85004</t>
  </si>
  <si>
    <t>1633 N Central Ave Phoenix AZ 85004</t>
  </si>
  <si>
    <t>1634 N Central Ave Phoenix AZ 85004</t>
  </si>
  <si>
    <t>1635 N Central Ave Phoenix AZ 85004</t>
  </si>
  <si>
    <t>1636 N Central Ave Phoenix AZ 85004</t>
  </si>
  <si>
    <t>Phone</t>
  </si>
  <si>
    <t>602-307-2009</t>
  </si>
  <si>
    <t>602-307-2011</t>
  </si>
  <si>
    <t>602-307-2012</t>
  </si>
  <si>
    <t>602-307-2010</t>
  </si>
  <si>
    <t>602-307-2013</t>
  </si>
  <si>
    <t>602-307-2014</t>
  </si>
  <si>
    <t>602-307-2015</t>
  </si>
  <si>
    <t>602-307-2016</t>
  </si>
  <si>
    <t>602-307-2017</t>
  </si>
  <si>
    <t>602-307-2018</t>
  </si>
  <si>
    <t>602-307-2019</t>
  </si>
  <si>
    <t>602-307-2020</t>
  </si>
  <si>
    <t>Email</t>
  </si>
  <si>
    <t>archives@phxart.org</t>
  </si>
  <si>
    <t>File name</t>
  </si>
  <si>
    <t>PAM.SG.FEA_FindingAid</t>
  </si>
  <si>
    <t>SP.MARS_FindingAid</t>
  </si>
  <si>
    <t>SP.AAG_FindingAid</t>
  </si>
  <si>
    <t>SP.JSE_FindingAid</t>
  </si>
  <si>
    <t>File date yyyymmdd</t>
  </si>
  <si>
    <t>OVERVIEW</t>
  </si>
  <si>
    <t>Creator</t>
  </si>
  <si>
    <t>Friends of European Art</t>
  </si>
  <si>
    <t>Movimiento Artístico del Río Salado</t>
  </si>
  <si>
    <t>Arizona Artists Guild</t>
  </si>
  <si>
    <t>Jeanette Shambaugh Elliott</t>
  </si>
  <si>
    <t>Title</t>
  </si>
  <si>
    <t>Friends of European Art (FEA) Records</t>
  </si>
  <si>
    <t>Movimiento Artístico del Río Salado (MARS) Collection</t>
  </si>
  <si>
    <t>Arizona Artists Guild Records</t>
  </si>
  <si>
    <t>Jeanette Shambaugh Elliott Papers</t>
  </si>
  <si>
    <t>Inclusive Dates</t>
  </si>
  <si>
    <t>1997-2017</t>
  </si>
  <si>
    <t>1982-2025</t>
  </si>
  <si>
    <t>1928-2013</t>
  </si>
  <si>
    <t>1958-1991</t>
  </si>
  <si>
    <t>Bulk Dates</t>
  </si>
  <si>
    <t>1982-2002</t>
  </si>
  <si>
    <t>Extent (boxes)</t>
  </si>
  <si>
    <t>8 document boxes, 18 binders</t>
  </si>
  <si>
    <t>Extent (linear ft)</t>
  </si>
  <si>
    <t>Abstract</t>
  </si>
  <si>
    <t>The Friends of European Art Records (PAM.SG.FEA) contain documents created by FEA since its 1997 founding up to 2017, including minutes, administrative files, budget information, flyers, and newsletters.</t>
  </si>
  <si>
    <t>The Movimiento Artístico del Río Salado (MARS) Collection (SP.MARS) contain documents compiled by Clayton Kirking, former Phoenix Art Museum Librarian, Curator of Latin American Art, and MARS board member, and several artists from the group. The collection primarily includes invitations, newsletters, and photos, as well as newspaper clippings and some meeting minutes.</t>
  </si>
  <si>
    <t>The Arizona Artists Guild Records (SP.AAG) contain documents created by the AAG from its founding in 1928, including directories, minutes, treasury reports, newsletters, event plans, and building construction files.</t>
  </si>
  <si>
    <t>[To be completed] 
Jeanette Shambaugh Elliott was a collector of Asian Art and collaborator of former PhxArt curator Claudia Brown.</t>
  </si>
  <si>
    <t>Identification (PAM.ID)</t>
  </si>
  <si>
    <t>PAM.SG.FEA</t>
  </si>
  <si>
    <t>SP.MARS</t>
  </si>
  <si>
    <t>SP.AAG</t>
  </si>
  <si>
    <t>SP.JSE</t>
  </si>
  <si>
    <t>Language</t>
  </si>
  <si>
    <t>English</t>
  </si>
  <si>
    <t>English| Spanish</t>
  </si>
  <si>
    <t>English| Chinese</t>
  </si>
  <si>
    <t>Repository</t>
  </si>
  <si>
    <t>Phoenix Art Museum</t>
  </si>
  <si>
    <t>MARCCode</t>
  </si>
  <si>
    <t>AzPhAM</t>
  </si>
  <si>
    <t>Historical Note</t>
  </si>
  <si>
    <t>The Friends of European Art was a support group of Phoenix Art Museum, founded in 1997, which celebrated achievements in art by European Artists by holding events, supporting exhibitions, and traveling to see such art in person.</t>
  </si>
  <si>
    <t xml:space="preserve">Movimiento Artístico del Río Salado (MARS) was active from 1978 to 2002 and existed to promote and display works from artists in the Chicano community of Phoenix, Arizona. From 1981, the group ran a gallery called MARS ArtSpace at 1201 S 1st Ave; in 1990, moved to 130 N Central Ave; and the Luhrs Center from about 1994, 126 S Central Ave. By 2003, there was no longer a physical gallery. 
In the 80s and 90s, MARS was partially supported by funds from the National Endowment for the Arts (NEA), Phoenix Arts Commission, Arizona Commission on the Arts. 
Variants of the MARS name also include M.A.R.S., MARS ArtSpace, and The MARS Gallery.  </t>
  </si>
  <si>
    <t xml:space="preserve">The Arizona Artists Guild was founded in 1928 with twelve to seventeen members with the goal of promoting local artists and craftspeople. Over the years, the group met at Pueblo Grande Museum (now Sedav Va’aki Museum), the Federal Art Center and the Art Center at 45 E Coronado (both precursors to PhxArt), and later, their own building. The first building fund was established in 1965, but was not fully realized until 1978 with a building at 8912 N 4th Street. Construction files in this collection are referencing the second building construction completed in 2009. </t>
  </si>
  <si>
    <t>Scope and Content</t>
  </si>
  <si>
    <t xml:space="preserve">This collection includes membership directories, minute logs, invitations, event flyers, budget information, administrative files, emails, news clippings, and newsletters of the FEA since 1997 and as recently as 2017.  </t>
  </si>
  <si>
    <t>The MARS Collection contains materials collected by Clayton Kirking and stored in the Artist/Gallery Files at Phoenix Art Museum’s Gene and Cathie Lemon Library. The collection primarily includes invitations and newsletters mailed by MARS, news clippings about MARS, and some meeting minutes.  
Newer accessions from former members have been added in subsequent series around the time of the MARS Revisited Symposium held at Phoenix Art Museum on September 20, 2025.</t>
  </si>
  <si>
    <t>The Arizona Artists Guild Records (SP.AAG) contain materials donated by AAG to Phoenix Art Museum’s Gene and Cathie Lemon Library.</t>
  </si>
  <si>
    <t xml:space="preserve">[To be completed] 
Trip that she organized over several years – Chinese Painting Study Trip to the People’s Republic of China, October 6-November 5, 1980 sponsored by NCUSCR </t>
  </si>
  <si>
    <t>Arrangement</t>
  </si>
  <si>
    <t xml:space="preserve">The collection is arranged into two series: 
Series I: Membership Directories 
Series II: Chronological Files </t>
  </si>
  <si>
    <t xml:space="preserve">The AAG Records are arranged into seven series based on the content and original order of the files:  
Series I: General History 
Series II: Directories, 1952-2012 
Series III: Minutes 1928-1999 
Series IV: Newsletters 
Series V: Events &amp; Exhibitions  
Series VI: Building &amp; Construction  
Series VII: Artist Binders </t>
  </si>
  <si>
    <t>Restrictions (Access)</t>
  </si>
  <si>
    <t xml:space="preserve">This collection has no restrictions. Some material may be restricted due to the presence of personal names, addresses, and information. </t>
  </si>
  <si>
    <t xml:space="preserve">This collection has no access restrictions. </t>
  </si>
  <si>
    <t>Restrictions (Use/Copyright)</t>
  </si>
  <si>
    <t xml:space="preserve">Reproductions may be made for research purposes. The Phoenix Art Museum Archives maintains ownership of the physical material only. Copyright remains with the creator and heirs. It is the responsibility of the user to obtain permission to publish from the owner of the copyright. </t>
  </si>
  <si>
    <t xml:space="preserve">MARS retains copyright to the printed and distributed material in this collection. Requests to publish, display, or redistribute information from this collection must be submitted to both the Archives and former MARS representatives.  
Reproductions may be made for research purposes. The Phoenix Art Museum Archives maintains ownership of the physical material only. Copyright remains with the creator and heirs. It is the responsibility of the user to obtain permission to publish from the owner of the copyright. </t>
  </si>
  <si>
    <t xml:space="preserve">Arizona Artists Guild retains copyright to this collection. Requests to publish, display, or redistribute information from this collection must be submitted to both the Archives and AAG.  
Reproductions may be made for research purposes. The Phoenix Art Museum Archives maintains ownership of the physical material only. Copyright remains with the creator and heirs. It is the responsibility of the user to obtain permission to publish from the owner of the copyright. </t>
  </si>
  <si>
    <t xml:space="preserve">This collection may contain duplicate and/or copyrighted material.  
Reproductions of original documents may be made for research purposes. The Phoenix Art Museum Archives maintains ownership of the physical material only. Copyright remains with the creator and heirs. It is the responsibility of the user to obtain permission to publish from the owner of the copyright. </t>
  </si>
  <si>
    <t>Related Material</t>
  </si>
  <si>
    <t xml:space="preserve">PAM.CE European Art exhibits </t>
  </si>
  <si>
    <t>Separated Material</t>
  </si>
  <si>
    <t>Oversized posters have been separated to LFF1.</t>
  </si>
  <si>
    <t>Alternative Formats</t>
  </si>
  <si>
    <t>Access Terms (Personal Name)</t>
  </si>
  <si>
    <t>Connor, Anne|
Manera, Bets|
Hellens, Susan von|
Nichols, Barbara|
Schulz, Cheryl|
Hardy, Terri Adrian|
Baum, Susie|
Tully, Joan|
Plenge, Kathey|
Wright, Jennifer|
Koopot, Sherry|
Ruddock, Marcia|
Mikus, Mardelle|
Nazzal, Barbara|
Simon, Suzanne|
Gordon, Bunny|
Komanecky, Michael|
Loughman, Tom</t>
  </si>
  <si>
    <t>Buitrón, Roberto C.|
Cordova, Ralph A.|
Covarrubias, Jim|
De León, Marta|
Delgadillo, Ramón|
Eller, Lennee, M.|
Falk, Jeff|
Gompf, Steve|
Graham Lerma, Susi|
Kirking, Clayton|
Lerma, Liz|
Lopez, Annie|
McMillion Nering, Deborah|
Moreno, Martín|
Ray, Joe|
Sanchez, Joseph|
Szabo, Marilyn|
Yáñez, Larry M.|
Ybarra, Frank</t>
  </si>
  <si>
    <t xml:space="preserve">Bergamo, Dorothy J.|
Reed, Peggy|
Coze, Paul </t>
  </si>
  <si>
    <t>Shambaugh Elliott, Jeanette|
Shambaugh Stein, Jeanette|
Elliott, F. Osborne|
Wang, C. C.|
Wang, Chi-ch'ien|
Cahill, James|
Fang-Yu, Wang| 
Gray, Basil</t>
  </si>
  <si>
    <t>Access Terms (Corporate Name)</t>
  </si>
  <si>
    <t xml:space="preserve">Friends of European Art </t>
  </si>
  <si>
    <t>Movimiento Artístico del Río Salado|
Fina Cocina Restaurant (Phoenix, Ariz.)</t>
  </si>
  <si>
    <t>Arizona Artists Guild|
Arizona Artist Guild|
Arizona Artist’s Guild</t>
  </si>
  <si>
    <t>National Committee on US-China Relations|
Princeton University</t>
  </si>
  <si>
    <t>Access Terms (Subject)</t>
  </si>
  <si>
    <t>Art, European</t>
  </si>
  <si>
    <t>Artists--United States|
Hispanic American arts--Arizona--Phoenix|
Mexican American art--Arizona--Phoenix|
Chicano movement|
Artist-run galleries|
Art galleries|
Graphic artists|
Solo exhibitions (Art)|
Hanigan Case</t>
  </si>
  <si>
    <t xml:space="preserve">Artists--United States </t>
  </si>
  <si>
    <t xml:space="preserve">Art historians|
Asian Art </t>
  </si>
  <si>
    <t>Administrative Info (Preferred Citation)</t>
  </si>
  <si>
    <t xml:space="preserve">Appropriate citation of item. Box number, Folder number. PAM.SG.FEA Friends of European Art Records. Phoenix Art Museum Archives, Phoenix, AZ. Date accessed. </t>
  </si>
  <si>
    <t xml:space="preserve">Appropriate citation of item. Box number, Folder number. SP.MARS Movimiento Artístico del Río Salado Collection. Phoenix Art Museum Archives, Phoenix, AZ. Date accessed. </t>
  </si>
  <si>
    <t xml:space="preserve">Appropriate citation of item. Box number, Folder number. SP.AAG Arizona Artists Guild Records. Phoenix Art Museum Archives, Phoenix, AZ. Date accessed. </t>
  </si>
  <si>
    <t xml:space="preserve">Appropriate citation of item. Box number, Folder number. SP.JSE Jeanette Shambaugh Elliott Papers. Phoenix Art Museum Archives, Phoenix, AZ. Date accessed. </t>
  </si>
  <si>
    <t>Administrative Info (Provenance)</t>
  </si>
  <si>
    <t>Materials found in place in PhxArt Archives, maintained over the years by FEA presidents, and PhxArt librarians and curators. </t>
  </si>
  <si>
    <t xml:space="preserve">Materials collected by Clayton Kirking and stored in the Artist/Gallery Files at Phoenix Art Museum’s Gene and Cathie Lemon Library. Items may have been added by Docents and volunteers after Kirking left the Museum in 1994. Materials were transferred from the Library’s Artist Files to the Archives in 2024.  
New digital accessions have been donated by Annie Lopez in September 2025. During the MARS Revisited Symposium, items were donated by artists Larry Yanez and Jim Covarrubias.  </t>
  </si>
  <si>
    <t xml:space="preserve">Materials found in place in PhxArt Archives, donated around 2014 by AAG to the PhxArt Library. </t>
  </si>
  <si>
    <t xml:space="preserve">Materials collected by Jeanette Shambaugh. Claudia Brown facilitated the transfer of files to the Archives around 2000.  </t>
  </si>
  <si>
    <t>Administrative Info (Provenance - Acquisition info)</t>
  </si>
  <si>
    <t>Found in place</t>
  </si>
  <si>
    <t>Administrative Info (Provenance - Accruals)</t>
  </si>
  <si>
    <t>Accruals will not be made to this collection.</t>
  </si>
  <si>
    <t>Administrative Info (Provenance - Custodial history)</t>
  </si>
  <si>
    <t>Administrative Info (Processing Info)</t>
  </si>
  <si>
    <t xml:space="preserve">Archivist Aspen Reynolds and volunteer Juniper Shutters processed this collection in July of 2025. </t>
  </si>
  <si>
    <t xml:space="preserve">Archivist Aspen Reynolds facilitated the transfer of files in 2024 and processed the collection in 2025. Accruals will continue to be made to this collection. </t>
  </si>
  <si>
    <t xml:space="preserve">Archivist Aspen Reynolds and volunteer Ana Groves processed the AAG Records in March 2024. Folders may have old labels “EO” for “External Organizations” before the “Special Collections” label was decided. </t>
  </si>
  <si>
    <t xml:space="preserve">Archivist Aspen Reynolds and Docent Dan Liu processed the collection in January 2026. Accruals will not be made to this collection. </t>
  </si>
  <si>
    <t>CONTAINER LIST</t>
  </si>
  <si>
    <t>Series</t>
  </si>
  <si>
    <t>Box</t>
  </si>
  <si>
    <t>Folder</t>
  </si>
  <si>
    <t>Date</t>
  </si>
  <si>
    <t xml:space="preserve">Series I: Membership Directories </t>
  </si>
  <si>
    <t>1997-2003 </t>
  </si>
  <si>
    <t>FEA Membership </t>
  </si>
  <si>
    <t>2004-2010 </t>
  </si>
  <si>
    <t>2011-2016 </t>
  </si>
  <si>
    <t>Series II: Chronological Files </t>
  </si>
  <si>
    <t>1 </t>
  </si>
  <si>
    <t>4 </t>
  </si>
  <si>
    <t>1997 </t>
  </si>
  <si>
    <t>Minutes </t>
  </si>
  <si>
    <t>5 </t>
  </si>
  <si>
    <t>1998 </t>
  </si>
  <si>
    <t>6 </t>
  </si>
  <si>
    <t>Newsletters </t>
  </si>
  <si>
    <t>7 </t>
  </si>
  <si>
    <t>Events </t>
  </si>
  <si>
    <t>8 </t>
  </si>
  <si>
    <t>Getty Museum Trip </t>
  </si>
  <si>
    <t>9 </t>
  </si>
  <si>
    <t>New England Trip </t>
  </si>
  <si>
    <t>10 </t>
  </si>
  <si>
    <t>1999 </t>
  </si>
  <si>
    <t>11 </t>
  </si>
  <si>
    <t>12 </t>
  </si>
  <si>
    <t>13 </t>
  </si>
  <si>
    <t>Scotland Trip </t>
  </si>
  <si>
    <t>14 </t>
  </si>
  <si>
    <t>1997-1999 </t>
  </si>
  <si>
    <t>President’s Binder </t>
  </si>
  <si>
    <t>15 </t>
  </si>
  <si>
    <t>President’s Binder Continued </t>
  </si>
  <si>
    <t>16 </t>
  </si>
  <si>
    <t>1998-1999 </t>
  </si>
  <si>
    <t>Directory Folder </t>
  </si>
  <si>
    <t>2 </t>
  </si>
  <si>
    <t>2000 </t>
  </si>
  <si>
    <t>3 </t>
  </si>
  <si>
    <t>L.A. Trip </t>
  </si>
  <si>
    <t>2001 </t>
  </si>
  <si>
    <t>Travel </t>
  </si>
  <si>
    <t>Russia Trip </t>
  </si>
  <si>
    <t>Maastricht Trip </t>
  </si>
  <si>
    <t>2002 </t>
  </si>
  <si>
    <t>Toronto Trip </t>
  </si>
  <si>
    <t>San Antonio Trip </t>
  </si>
  <si>
    <t>2003 </t>
  </si>
  <si>
    <t>President’s Report Binder </t>
  </si>
  <si>
    <t>President’s Report Binder Continued </t>
  </si>
  <si>
    <t>2004 </t>
  </si>
  <si>
    <t>Golf Tournament Event Folder </t>
  </si>
  <si>
    <t>2005 </t>
  </si>
  <si>
    <t>2005-2006 </t>
  </si>
  <si>
    <t>President’s Binder (Joan Tully) </t>
  </si>
  <si>
    <t>2006 </t>
  </si>
  <si>
    <t>Board Member Binder (Kathy Pledge) </t>
  </si>
  <si>
    <t>Antique Preview Event </t>
  </si>
  <si>
    <t>Spain Trip </t>
  </si>
  <si>
    <t>San Francisco Trip </t>
  </si>
  <si>
    <t>2006-2007 </t>
  </si>
  <si>
    <t>Board Member Binder </t>
  </si>
  <si>
    <t>2007 </t>
  </si>
  <si>
    <t>10th Anniversary Event Binder </t>
  </si>
  <si>
    <t>Carnivale Event </t>
  </si>
  <si>
    <t>2007-2008 </t>
  </si>
  <si>
    <t>2008 </t>
  </si>
  <si>
    <t>2008-2009 </t>
  </si>
  <si>
    <t>President’s Binder (Sherry Koopot) </t>
  </si>
  <si>
    <t>2009 </t>
  </si>
  <si>
    <t>2009-2010 </t>
  </si>
  <si>
    <t>President’s Binder (Marcia Ruddock) </t>
  </si>
  <si>
    <t>2010 </t>
  </si>
  <si>
    <t>Members Binder </t>
  </si>
  <si>
    <t>By-laws Binder </t>
  </si>
  <si>
    <t>Board </t>
  </si>
  <si>
    <t>Trips </t>
  </si>
  <si>
    <t>2010-2014 </t>
  </si>
  <si>
    <t>Nomination Committee Binder </t>
  </si>
  <si>
    <t>2011 </t>
  </si>
  <si>
    <t>Members </t>
  </si>
  <si>
    <t>17 </t>
  </si>
  <si>
    <t>18 </t>
  </si>
  <si>
    <t>19 </t>
  </si>
  <si>
    <t>Acquisitions </t>
  </si>
  <si>
    <t>European Gallery Grand Opening Event </t>
  </si>
  <si>
    <t>2011-2012 </t>
  </si>
  <si>
    <t>President’s Report (Barbara Nazzal) </t>
  </si>
  <si>
    <t>2012 </t>
  </si>
  <si>
    <t>2012-2015 </t>
  </si>
  <si>
    <t>Membership Binder </t>
  </si>
  <si>
    <t>2013 </t>
  </si>
  <si>
    <t>2014 </t>
  </si>
  <si>
    <t>2015 </t>
  </si>
  <si>
    <t>20 </t>
  </si>
  <si>
    <t>Salons + Saloons Event </t>
  </si>
  <si>
    <t>2016 </t>
  </si>
  <si>
    <t>2016-2017 </t>
  </si>
  <si>
    <t>Events Binder </t>
  </si>
  <si>
    <t>2017 </t>
  </si>
  <si>
    <t>2010-2017 </t>
  </si>
  <si>
    <t>Programs Binder </t>
  </si>
  <si>
    <t xml:space="preserve">Series I: Library Artist Files (Gallery Files) </t>
  </si>
  <si>
    <t> </t>
  </si>
  <si>
    <t>Administrative / General Information – Clayton Kirking </t>
  </si>
  <si>
    <t>Publicity </t>
  </si>
  <si>
    <t>1987 </t>
  </si>
  <si>
    <t>News Releases </t>
  </si>
  <si>
    <t>1988 </t>
  </si>
  <si>
    <t>1989 </t>
  </si>
  <si>
    <t>1990 </t>
  </si>
  <si>
    <t>1991 </t>
  </si>
  <si>
    <t>Calendars </t>
  </si>
  <si>
    <t>1981-1985 </t>
  </si>
  <si>
    <t>Las Posadas </t>
  </si>
  <si>
    <t>1982-1986 </t>
  </si>
  <si>
    <t>MARS Group Shows ‘82, ‘83, ‘85, ‘86 </t>
  </si>
  <si>
    <t>1982-2002 </t>
  </si>
  <si>
    <t>La Phoeniquera </t>
  </si>
  <si>
    <t>1983 March </t>
  </si>
  <si>
    <t>Women of MARS </t>
  </si>
  <si>
    <t>1983 April </t>
  </si>
  <si>
    <t>Cuatro Pueblos </t>
  </si>
  <si>
    <t>1983, 1985 </t>
  </si>
  <si>
    <t>MARS at Fagen-Peterson Gallery </t>
  </si>
  <si>
    <t>1985-1993 </t>
  </si>
  <si>
    <t>MARS and Dinnerware </t>
  </si>
  <si>
    <t>1986-1993 </t>
  </si>
  <si>
    <t>Performance Art </t>
  </si>
  <si>
    <t>1988 March 12 </t>
  </si>
  <si>
    <t>Rasquachismo: The Style and Meaning of Chicano Art Symposium </t>
  </si>
  <si>
    <t>1988 June 17 </t>
  </si>
  <si>
    <t>Satellites Land at MARS </t>
  </si>
  <si>
    <t>1988 December </t>
  </si>
  <si>
    <t>“Thirty Seconds over Bethlehem” </t>
  </si>
  <si>
    <t>1989-2000 </t>
  </si>
  <si>
    <t>Art Detour </t>
  </si>
  <si>
    <t>1989-2001 </t>
  </si>
  <si>
    <t>Blu-Lite Special </t>
  </si>
  <si>
    <t>1990 December </t>
  </si>
  <si>
    <t>Cowpoke Soiree </t>
  </si>
  <si>
    <t>1992 June </t>
  </si>
  <si>
    <t>Men/Man/Boy &amp; End of Paradise Adam’s Apple Annie Lopez &amp; Marilyn Szabo </t>
  </si>
  <si>
    <t>1993, 1996 </t>
  </si>
  <si>
    <t>Chicanolandia </t>
  </si>
  <si>
    <t>1996 </t>
  </si>
  <si>
    <t>La Bandera Vieja </t>
  </si>
  <si>
    <t>Group &amp; Pair shows </t>
  </si>
  <si>
    <t>Single shows </t>
  </si>
  <si>
    <t>Traveling shows &amp; exchanges / Visiting artists </t>
  </si>
  <si>
    <t>Mexican-American Print Series </t>
  </si>
  <si>
    <t>Member Activities </t>
  </si>
  <si>
    <t>Member Activities: Annie Lopez </t>
  </si>
  <si>
    <t>Member Activities: Jeff Falk </t>
  </si>
  <si>
    <t>Member Activities: Jeff Falk and Annie Lopez </t>
  </si>
  <si>
    <t>LFF </t>
  </si>
  <si>
    <t>1983 </t>
  </si>
  <si>
    <t>Poster: La Phoeniquera III </t>
  </si>
  <si>
    <t>Poster: Raz ComAmerica </t>
  </si>
  <si>
    <t>Poster: “Tio Sam” calendar by Larry Yanez </t>
  </si>
  <si>
    <t>1985 </t>
  </si>
  <si>
    <t>Poster: “Computer” calendar by Lennee Eller </t>
  </si>
  <si>
    <t>Poster: Jeff Falk Performance Artist </t>
  </si>
  <si>
    <t xml:space="preserve">Series II: Digital Materials in SP.MARS </t>
  </si>
  <si>
    <t>63 Photos from Annie Lopez </t>
  </si>
  <si>
    <t>1995 October 6</t>
  </si>
  <si>
    <t>“Color Me Brown” performance video from Annie Lopez </t>
  </si>
  <si>
    <t>46 Photos from Larry Yanez </t>
  </si>
  <si>
    <t xml:space="preserve">Series III: Post-MARS Symposium </t>
  </si>
  <si>
    <t>LFF1 </t>
  </si>
  <si>
    <t>1978 September 9-16 </t>
  </si>
  <si>
    <t>Poster: “1st Annual Arizona Chicano Art Show – Encanto Park Clubhouse” by Jim Covarrubias </t>
  </si>
  <si>
    <t>1981 </t>
  </si>
  <si>
    <t>Poster: “Phoenix Support Committee National Coalition on the Hannigan Case 1980-1981" by Jim Covarrubias </t>
  </si>
  <si>
    <t>2025 September 20 </t>
  </si>
  <si>
    <t>MARS Revisited Symposium</t>
  </si>
  <si>
    <t>2025 </t>
  </si>
  <si>
    <t>Signed MARS Symposium tote bag </t>
  </si>
  <si>
    <t>Two MARS Symposium tote bags </t>
  </si>
  <si>
    <t>1990 September 15 </t>
  </si>
  <si>
    <t>Post-Chicano Generation in Art: Breaking Boundaries Exhibition and Symposium </t>
  </si>
  <si>
    <t>Poster: Post-Chicano Generation in Art: Breaking Boundaries </t>
  </si>
  <si>
    <t xml:space="preserve">Series I: General History </t>
  </si>
  <si>
    <t>"A Comprehensive History"</t>
  </si>
  <si>
    <t xml:space="preserve">Series II: Directories, 1952-2012 </t>
  </si>
  <si>
    <t>Logos</t>
  </si>
  <si>
    <t>1952-1955 </t>
  </si>
  <si>
    <t>Directory </t>
  </si>
  <si>
    <t>1955-1956 </t>
  </si>
  <si>
    <t>1956-1957 </t>
  </si>
  <si>
    <t>1957-1958 </t>
  </si>
  <si>
    <t>1958-1959 </t>
  </si>
  <si>
    <t>1959-1960 </t>
  </si>
  <si>
    <t>1960-1961 </t>
  </si>
  <si>
    <t>1961-1962 </t>
  </si>
  <si>
    <t>1962-1963 </t>
  </si>
  <si>
    <t>1963-1964 </t>
  </si>
  <si>
    <t>1964-1965 </t>
  </si>
  <si>
    <t>1965-1966 </t>
  </si>
  <si>
    <t>1966-1967 </t>
  </si>
  <si>
    <t>1967-1968 </t>
  </si>
  <si>
    <t>1968-1969 </t>
  </si>
  <si>
    <t>1969-1970 </t>
  </si>
  <si>
    <t>1970-1971 </t>
  </si>
  <si>
    <t>1971-1972 </t>
  </si>
  <si>
    <t>21 </t>
  </si>
  <si>
    <t>1972-1973 </t>
  </si>
  <si>
    <t>22 </t>
  </si>
  <si>
    <t>1973-1974 </t>
  </si>
  <si>
    <t>23 </t>
  </si>
  <si>
    <t>1974-1975 </t>
  </si>
  <si>
    <t>24 </t>
  </si>
  <si>
    <t>1975-1976 </t>
  </si>
  <si>
    <t>25 </t>
  </si>
  <si>
    <t>1976-1977 </t>
  </si>
  <si>
    <t>1977-1978 </t>
  </si>
  <si>
    <t>1978-1979 </t>
  </si>
  <si>
    <t>1979-1980 </t>
  </si>
  <si>
    <t>1980-1981 </t>
  </si>
  <si>
    <t>1981-1982 </t>
  </si>
  <si>
    <t>1982-1983 </t>
  </si>
  <si>
    <t>1983-1984 </t>
  </si>
  <si>
    <t>1984-1985 </t>
  </si>
  <si>
    <t>1985-1986 </t>
  </si>
  <si>
    <t>1986-1987 </t>
  </si>
  <si>
    <t>1987-1988 </t>
  </si>
  <si>
    <t>1988-1989 </t>
  </si>
  <si>
    <t>1989-1990 </t>
  </si>
  <si>
    <t>1990-1991 </t>
  </si>
  <si>
    <t>1991-1992 </t>
  </si>
  <si>
    <t>1992-1993 </t>
  </si>
  <si>
    <t>1993-1994 </t>
  </si>
  <si>
    <t>1994-1995 </t>
  </si>
  <si>
    <t>1995-1996 </t>
  </si>
  <si>
    <t>1996-1997 </t>
  </si>
  <si>
    <t>1997-1998 </t>
  </si>
  <si>
    <t>1999-2000 </t>
  </si>
  <si>
    <t>2000-2001 </t>
  </si>
  <si>
    <t>2001-2002 </t>
  </si>
  <si>
    <t>2002-2003 </t>
  </si>
  <si>
    <t>2003-2004 </t>
  </si>
  <si>
    <t>2010-2011 </t>
  </si>
  <si>
    <t xml:space="preserve">Series III: Minutes, 1928-2012 </t>
  </si>
  <si>
    <t>1928-1941 </t>
  </si>
  <si>
    <t>Treasury Reports </t>
  </si>
  <si>
    <t>1930-1938 </t>
  </si>
  <si>
    <t>1937-1938, 1946 </t>
  </si>
  <si>
    <t>1938-1948 </t>
  </si>
  <si>
    <t>1948 </t>
  </si>
  <si>
    <t>1950-1952 </t>
  </si>
  <si>
    <t>1951-1956 </t>
  </si>
  <si>
    <t>1952-1953 </t>
  </si>
  <si>
    <t>1957-1961 </t>
  </si>
  <si>
    <t>1968 </t>
  </si>
  <si>
    <t>1979-1981 </t>
  </si>
  <si>
    <t>1981-1983 </t>
  </si>
  <si>
    <t>1989  </t>
  </si>
  <si>
    <t>1989 Minutes </t>
  </si>
  <si>
    <t>1990  </t>
  </si>
  <si>
    <t>1990 Minutes </t>
  </si>
  <si>
    <t>1991  </t>
  </si>
  <si>
    <t>1991 Minutes </t>
  </si>
  <si>
    <t>1992  </t>
  </si>
  <si>
    <t>1992 Minutes </t>
  </si>
  <si>
    <t>1993  </t>
  </si>
  <si>
    <t>1993 Minutes </t>
  </si>
  <si>
    <t>1994  </t>
  </si>
  <si>
    <t>1994 Minutes </t>
  </si>
  <si>
    <t>1995  </t>
  </si>
  <si>
    <t>1995 Minutes </t>
  </si>
  <si>
    <t>1996  </t>
  </si>
  <si>
    <t>1996 Minutes </t>
  </si>
  <si>
    <t xml:space="preserve">Series IV: Newsletters </t>
  </si>
  <si>
    <t>News clippings </t>
  </si>
  <si>
    <t>News 1981 </t>
  </si>
  <si>
    <t>1982 </t>
  </si>
  <si>
    <t>News 1982 </t>
  </si>
  <si>
    <t>News 1983 </t>
  </si>
  <si>
    <t>1984 </t>
  </si>
  <si>
    <t>News 1984 </t>
  </si>
  <si>
    <t>News 1985 </t>
  </si>
  <si>
    <t>1986 </t>
  </si>
  <si>
    <t>News 1986 </t>
  </si>
  <si>
    <t>News 1987 </t>
  </si>
  <si>
    <t>26 </t>
  </si>
  <si>
    <t>News 1988 </t>
  </si>
  <si>
    <t>27 </t>
  </si>
  <si>
    <t>News 1989 </t>
  </si>
  <si>
    <t>28 </t>
  </si>
  <si>
    <t>News 1990 </t>
  </si>
  <si>
    <t>29 </t>
  </si>
  <si>
    <t>News 1991 </t>
  </si>
  <si>
    <t>30 </t>
  </si>
  <si>
    <t>1992 </t>
  </si>
  <si>
    <t>News 1992 </t>
  </si>
  <si>
    <t>31 </t>
  </si>
  <si>
    <t>1993 </t>
  </si>
  <si>
    <t>News 1993 </t>
  </si>
  <si>
    <t>32 </t>
  </si>
  <si>
    <t>1995 </t>
  </si>
  <si>
    <t>News 1995 </t>
  </si>
  <si>
    <t>33 </t>
  </si>
  <si>
    <t>News 1996 </t>
  </si>
  <si>
    <t>34 </t>
  </si>
  <si>
    <t>News 1997 </t>
  </si>
  <si>
    <t>News 1999 </t>
  </si>
  <si>
    <t>News 2000 </t>
  </si>
  <si>
    <t>News 2001 </t>
  </si>
  <si>
    <t>News 2002 </t>
  </si>
  <si>
    <t>News 2003 </t>
  </si>
  <si>
    <t>News 2004 </t>
  </si>
  <si>
    <t>News 2005 </t>
  </si>
  <si>
    <t>News 2006 </t>
  </si>
  <si>
    <t>News 2007 </t>
  </si>
  <si>
    <t>News 2008 </t>
  </si>
  <si>
    <t>News 2012 </t>
  </si>
  <si>
    <t xml:space="preserve">Series V: Events &amp; Exhibitions </t>
  </si>
  <si>
    <t xml:space="preserve">Artstravaganza </t>
  </si>
  <si>
    <t>Events &amp; Exhibits</t>
  </si>
  <si>
    <t>1960s </t>
  </si>
  <si>
    <t>Events &amp; Exhibits - 1960s </t>
  </si>
  <si>
    <t>1970s </t>
  </si>
  <si>
    <t>Events &amp; Exhibits - 1970s </t>
  </si>
  <si>
    <t>1980s-1990s </t>
  </si>
  <si>
    <t>Events &amp; Exhibits - 1980s-1990s </t>
  </si>
  <si>
    <t>2000s-2010s </t>
  </si>
  <si>
    <t>Events &amp; Exhibits - 2000s-2010s </t>
  </si>
  <si>
    <t>1981-1988 </t>
  </si>
  <si>
    <t>Events &amp; Exhibits - Trips</t>
  </si>
  <si>
    <t>Events &amp; Exhibits - Associates Day</t>
  </si>
  <si>
    <t>1970-1998 </t>
  </si>
  <si>
    <t>AAG Events that Made History</t>
  </si>
  <si>
    <t>Gallery Nineteen- 1 </t>
  </si>
  <si>
    <t>Gallery Nineteen- 2 </t>
  </si>
  <si>
    <t>Kaleidescope Horse / Kaleidoscope Horse</t>
  </si>
  <si>
    <t xml:space="preserve">Series VI: Building &amp; Construction </t>
  </si>
  <si>
    <t>Expenditures, Construction Documents</t>
  </si>
  <si>
    <t>New Building - Paid Invoices, (Pre-Construction), (1) </t>
  </si>
  <si>
    <t>New Building - Paid Invoices, (2) </t>
  </si>
  <si>
    <t>LW French Construction Co. </t>
  </si>
  <si>
    <t>Purchase Documents and Deed to Land </t>
  </si>
  <si>
    <t>Maps and Documents </t>
  </si>
  <si>
    <t>Photos and Documents </t>
  </si>
  <si>
    <t>Newsletter Removed Materials (Miscellaneous) </t>
  </si>
  <si>
    <t>Appraisal Book </t>
  </si>
  <si>
    <t>Donation Solicitations Manual </t>
  </si>
  <si>
    <t xml:space="preserve">Series VII: Artist Binders </t>
  </si>
  <si>
    <t>B5</t>
  </si>
  <si>
    <t>Book 1: AAG/PFAA early history </t>
  </si>
  <si>
    <t>Book 2: Early 60s history </t>
  </si>
  <si>
    <t>Book 3: Late 60s history </t>
  </si>
  <si>
    <t>Book 4: 70s-80s history </t>
  </si>
  <si>
    <t>Book 5: Artist Binder </t>
  </si>
  <si>
    <t>Artist Binder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</si>
</sst>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font>
      <sz val="11"/>
      <color theme="1"/>
      <name val="Calibri"/>
      <family val="2"/>
      <scheme val="minor"/>
    </font>
    <font>
      <sz val="11"/>
      <color theme="1"/>
      <name val="Calibri"/>
      <scheme val="minor"/>
    </font>
    <font>
      <sz val="11"/>
      <color theme="1"/>
      <name val="Calibri"/>
      <scheme val="minor"/>
    </font>
    <font>
      <b/>
      <sz val="11"/>
      <color theme="1"/>
      <name val="Calibri"/>
      <family val="2"/>
      <scheme val="minor"/>
    </font>
    <font>
      <b/>
      <sz val="11"/>
      <color rgb="FF000000"/>
      <name val="Calibri"/>
      <scheme val="minor"/>
    </font>
    <font>
      <sz val="12"/>
      <name val="Aptos"/>
      <charset val="1"/>
    </font>
    <font>
      <sz val="11"/>
      <name val="Aptos"/>
      <charset val="1"/>
    </font>
    <font>
      <b/>
      <sz val="11"/>
      <color theme="1"/>
      <name val="Calibri"/>
      <scheme val="minor"/>
    </font>
    <font>
      <u/>
      <sz val="11"/>
      <color theme="10"/>
      <name val="Calibri"/>
      <family val="2"/>
      <scheme val="minor"/>
    </font>
    <font>
      <sz val="11"/>
      <color rgb="FF000000"/>
      <name val="Calibri"/>
      <scheme val="minor"/>
    </font>
    <font>
      <sz val="11"/>
      <name val="Calibri"/>
      <scheme val="minor"/>
    </font>
    <font>
      <sz val="10"/>
      <name val="Calibri"/>
      <scheme val="minor"/>
    </font>
  </fonts>
  <fills count="4">
    <fill>
      <patternFill patternType="none"/>
    </fill>
    <fill>
      <patternFill patternType="gray125"/>
    </fill>
    <fill>
      <patternFill patternType="solid">
        <fgColor theme="0" tint="-0.14999847407452621"/>
        <bgColor indexed="64"/>
      </patternFill>
    </fill>
    <fill>
      <patternFill patternType="solid">
        <fgColor theme="0" tint="-4.9989318521683403E-2"/>
        <bgColor indexed="64"/>
      </patternFill>
    </fill>
  </fills>
  <borders count="2">
    <border>
      <left/>
      <right/>
      <top/>
      <bottom/>
      <diagonal/>
    </border>
    <border>
      <left/>
      <right style="thin">
        <color rgb="FF000000"/>
      </right>
      <top/>
      <bottom/>
      <diagonal/>
    </border>
  </borders>
  <cellStyleXfs count="2">
    <xf numFmtId="0" fontId="0" fillId="0" borderId="0"/>
    <xf numFmtId="0" fontId="8" fillId="0" borderId="0" applyNumberFormat="0" applyFill="0" applyBorder="0" applyAlignment="0" applyProtection="0"/>
  </cellStyleXfs>
  <cellXfs count="26">
    <xf numFmtId="0" fontId="0" fillId="0" borderId="0" xfId="0"/>
    <xf numFmtId="0" fontId="0" fillId="0" borderId="1" xfId="0" applyBorder="1"/>
    <xf numFmtId="0" fontId="0" fillId="2" borderId="0" xfId="0" applyFill="1"/>
    <xf numFmtId="0" fontId="0" fillId="0" borderId="0" xfId="0" applyAlignment="1">
      <alignment wrapText="1"/>
    </xf>
    <xf numFmtId="0" fontId="0" fillId="2" borderId="0" xfId="0" applyFill="1" applyAlignment="1">
      <alignment wrapText="1"/>
    </xf>
    <xf numFmtId="0" fontId="0" fillId="0" borderId="1" xfId="0" applyBorder="1" applyAlignment="1">
      <alignment horizontal="left"/>
    </xf>
    <xf numFmtId="0" fontId="0" fillId="0" borderId="0" xfId="0" applyAlignment="1">
      <alignment horizontal="left" wrapText="1"/>
    </xf>
    <xf numFmtId="0" fontId="0" fillId="0" borderId="0" xfId="0" applyAlignment="1">
      <alignment horizontal="left"/>
    </xf>
    <xf numFmtId="0" fontId="6" fillId="0" borderId="0" xfId="0" applyFont="1" applyAlignment="1">
      <alignment readingOrder="1"/>
    </xf>
    <xf numFmtId="0" fontId="6" fillId="0" borderId="0" xfId="0" applyFont="1" applyAlignment="1">
      <alignment wrapText="1" readingOrder="1"/>
    </xf>
    <xf numFmtId="0" fontId="5" fillId="0" borderId="0" xfId="0" applyFont="1" applyAlignment="1">
      <alignment wrapText="1"/>
    </xf>
    <xf numFmtId="0" fontId="4" fillId="0" borderId="1" xfId="0" applyFont="1" applyBorder="1"/>
    <xf numFmtId="0" fontId="9" fillId="0" borderId="0" xfId="0" applyFont="1" applyAlignment="1">
      <alignment wrapText="1"/>
    </xf>
    <xf numFmtId="0" fontId="7" fillId="0" borderId="0" xfId="0" applyFont="1"/>
    <xf numFmtId="0" fontId="2" fillId="0" borderId="0" xfId="0" applyFont="1"/>
    <xf numFmtId="0" fontId="10" fillId="0" borderId="0" xfId="0" applyFont="1" applyAlignment="1">
      <alignment wrapText="1" readingOrder="1"/>
    </xf>
    <xf numFmtId="0" fontId="9" fillId="0" borderId="0" xfId="0" applyFont="1"/>
    <xf numFmtId="0" fontId="8" fillId="0" borderId="0" xfId="1" applyFill="1" applyAlignment="1">
      <alignment wrapText="1"/>
    </xf>
    <xf numFmtId="0" fontId="11" fillId="0" borderId="0" xfId="0" applyFont="1" applyAlignment="1">
      <alignment wrapText="1" readingOrder="1"/>
    </xf>
    <xf numFmtId="0" fontId="8" fillId="0" borderId="0" xfId="1" applyFill="1"/>
    <xf numFmtId="0" fontId="3" fillId="3" borderId="1" xfId="0" applyFont="1" applyFill="1" applyBorder="1"/>
    <xf numFmtId="0" fontId="4" fillId="3" borderId="1" xfId="0" applyFont="1" applyFill="1" applyBorder="1"/>
    <xf numFmtId="0" fontId="10" fillId="0" borderId="0" xfId="0" applyFont="1" applyAlignment="1">
      <alignment horizontal="left" wrapText="1" readingOrder="1"/>
    </xf>
    <xf numFmtId="0" fontId="8" fillId="0" borderId="0" xfId="1"/>
    <xf numFmtId="0" fontId="1" fillId="0" borderId="0" xfId="0" applyFont="1"/>
    <xf numFmtId="0" fontId="1" fillId="0" borderId="0" xfId="0" applyFont="1" applyAlignment="1">
      <alignment horizontal="left"/>
    </xf>
  </cellXfs>
  <cellStyles count="2">
    <cellStyle name="Hyperlink" xfId="1" builtinId="8"/>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T142"/>
  <sheetViews>
    <sheetView workbookViewId="0">
      <pane xSplit="1" topLeftCell="B1" activePane="topRight" state="frozen"/>
      <selection pane="topRight" activeCell="B2" sqref="B2"/>
    </sheetView>
  </sheetViews>
  <sheetFormatPr defaultRowHeight="15"/>
  <cols>
    <col min="1" max="1" width="47.7109375" style="1" customWidth="1"/>
    <col min="2" max="2" width="88.85546875" style="3" customWidth="1"/>
    <col min="3" max="3" width="86.28515625" customWidth="1"/>
    <col min="4" max="4" width="80.42578125" customWidth="1"/>
    <col min="5" max="5" width="37.5703125" customWidth="1"/>
    <col min="6" max="6" width="54.5703125" customWidth="1"/>
    <col min="7" max="14" width="33.7109375" customWidth="1"/>
  </cols>
  <sheetData>
    <row r="1" spans="1:20">
      <c r="A1" s="21" t="s">
        <v>0</v>
      </c>
      <c r="B1" s="4"/>
      <c r="C1" s="2"/>
      <c r="D1" s="2"/>
      <c r="E1" s="2"/>
      <c r="F1" s="2"/>
      <c r="G1" s="2"/>
      <c r="H1" s="2"/>
      <c r="I1" s="2"/>
      <c r="J1" s="2"/>
      <c r="K1" s="2"/>
      <c r="L1" s="2"/>
      <c r="M1" s="2"/>
      <c r="N1" s="2"/>
      <c r="O1" s="2"/>
      <c r="P1" s="2"/>
      <c r="Q1" s="2"/>
      <c r="R1" s="2"/>
      <c r="S1" s="2"/>
      <c r="T1" s="2"/>
    </row>
    <row r="2" spans="1:20">
      <c r="A2" s="1" t="s">
        <v>1</v>
      </c>
      <c r="B2" s="3" t="s">
        <v>2</v>
      </c>
      <c r="C2" t="s">
        <v>3</v>
      </c>
      <c r="D2" t="s">
        <v>4</v>
      </c>
      <c r="F2" t="s">
        <v>5</v>
      </c>
    </row>
    <row r="3" spans="1:20">
      <c r="A3" s="1" t="s">
        <v>6</v>
      </c>
      <c r="B3" s="3" t="s">
        <v>7</v>
      </c>
      <c r="C3" t="s">
        <v>8</v>
      </c>
      <c r="D3" t="s">
        <v>8</v>
      </c>
      <c r="F3" t="s">
        <v>8</v>
      </c>
    </row>
    <row r="4" spans="1:20">
      <c r="A4" s="1" t="s">
        <v>9</v>
      </c>
      <c r="B4" s="3" t="s">
        <v>10</v>
      </c>
      <c r="C4" t="s">
        <v>10</v>
      </c>
      <c r="D4" t="s">
        <v>10</v>
      </c>
      <c r="F4" t="s">
        <v>10</v>
      </c>
      <c r="G4" t="s">
        <v>10</v>
      </c>
      <c r="H4" t="s">
        <v>10</v>
      </c>
      <c r="I4" t="s">
        <v>10</v>
      </c>
      <c r="J4" t="s">
        <v>10</v>
      </c>
      <c r="K4" t="s">
        <v>10</v>
      </c>
      <c r="L4" t="s">
        <v>10</v>
      </c>
      <c r="M4" t="s">
        <v>10</v>
      </c>
      <c r="N4" t="s">
        <v>10</v>
      </c>
    </row>
    <row r="5" spans="1:20">
      <c r="A5" s="1" t="s">
        <v>11</v>
      </c>
      <c r="B5" s="3" t="s">
        <v>12</v>
      </c>
      <c r="C5" t="s">
        <v>13</v>
      </c>
      <c r="D5" t="s">
        <v>14</v>
      </c>
      <c r="F5" t="s">
        <v>15</v>
      </c>
      <c r="G5" t="s">
        <v>16</v>
      </c>
      <c r="H5" t="s">
        <v>17</v>
      </c>
      <c r="I5" t="s">
        <v>18</v>
      </c>
      <c r="J5" t="s">
        <v>19</v>
      </c>
      <c r="K5" t="s">
        <v>20</v>
      </c>
      <c r="L5" t="s">
        <v>21</v>
      </c>
      <c r="M5" t="s">
        <v>22</v>
      </c>
      <c r="N5" t="s">
        <v>23</v>
      </c>
    </row>
    <row r="6" spans="1:20">
      <c r="A6" s="1" t="s">
        <v>24</v>
      </c>
      <c r="B6" s="3" t="s">
        <v>25</v>
      </c>
      <c r="C6" t="s">
        <v>26</v>
      </c>
      <c r="D6" t="s">
        <v>27</v>
      </c>
      <c r="F6" t="s">
        <v>28</v>
      </c>
      <c r="G6" t="s">
        <v>29</v>
      </c>
      <c r="H6" t="s">
        <v>30</v>
      </c>
      <c r="I6" t="s">
        <v>31</v>
      </c>
      <c r="J6" t="s">
        <v>32</v>
      </c>
      <c r="K6" t="s">
        <v>33</v>
      </c>
      <c r="L6" t="s">
        <v>34</v>
      </c>
      <c r="M6" t="s">
        <v>35</v>
      </c>
      <c r="N6" t="s">
        <v>36</v>
      </c>
    </row>
    <row r="7" spans="1:20">
      <c r="A7" s="1" t="s">
        <v>37</v>
      </c>
      <c r="B7" s="3" t="s">
        <v>38</v>
      </c>
      <c r="C7" t="s">
        <v>38</v>
      </c>
      <c r="D7" t="s">
        <v>38</v>
      </c>
      <c r="F7" t="s">
        <v>38</v>
      </c>
      <c r="G7" t="s">
        <v>38</v>
      </c>
      <c r="H7" t="s">
        <v>38</v>
      </c>
      <c r="I7" t="s">
        <v>38</v>
      </c>
      <c r="J7" t="s">
        <v>38</v>
      </c>
      <c r="K7" t="s">
        <v>38</v>
      </c>
      <c r="L7" t="s">
        <v>38</v>
      </c>
      <c r="M7" t="s">
        <v>38</v>
      </c>
      <c r="N7" t="s">
        <v>38</v>
      </c>
    </row>
    <row r="8" spans="1:20">
      <c r="A8" s="11" t="s">
        <v>39</v>
      </c>
      <c r="B8" s="3" t="s">
        <v>40</v>
      </c>
      <c r="C8" t="s">
        <v>41</v>
      </c>
      <c r="D8" t="s">
        <v>42</v>
      </c>
      <c r="F8" t="s">
        <v>43</v>
      </c>
    </row>
    <row r="9" spans="1:20" s="7" customFormat="1">
      <c r="A9" s="5" t="s">
        <v>44</v>
      </c>
      <c r="B9" s="6">
        <v>20251201</v>
      </c>
      <c r="C9" s="7">
        <v>20251125</v>
      </c>
      <c r="D9" s="7">
        <v>20250806</v>
      </c>
      <c r="F9" s="7">
        <v>20260122</v>
      </c>
    </row>
    <row r="10" spans="1:20">
      <c r="A10" s="20" t="s">
        <v>45</v>
      </c>
      <c r="B10" s="4"/>
      <c r="C10" s="2"/>
      <c r="D10" s="2"/>
      <c r="E10" s="2"/>
      <c r="F10" s="2"/>
      <c r="G10" s="2"/>
      <c r="H10" s="2"/>
      <c r="I10" s="2"/>
      <c r="J10" s="2"/>
      <c r="K10" s="2"/>
      <c r="L10" s="2"/>
      <c r="M10" s="2"/>
      <c r="N10" s="2"/>
      <c r="O10" s="2"/>
      <c r="P10" s="2"/>
      <c r="Q10" s="2"/>
      <c r="R10" s="2"/>
      <c r="S10" s="2"/>
      <c r="T10" s="2"/>
    </row>
    <row r="11" spans="1:20">
      <c r="A11" s="1" t="s">
        <v>46</v>
      </c>
      <c r="B11" s="3" t="s">
        <v>47</v>
      </c>
      <c r="C11" t="s">
        <v>48</v>
      </c>
      <c r="D11" t="s">
        <v>49</v>
      </c>
      <c r="F11" t="s">
        <v>50</v>
      </c>
    </row>
    <row r="12" spans="1:20">
      <c r="A12" s="1" t="s">
        <v>51</v>
      </c>
      <c r="B12" s="3" t="s">
        <v>52</v>
      </c>
      <c r="C12" t="s">
        <v>53</v>
      </c>
      <c r="D12" t="s">
        <v>54</v>
      </c>
      <c r="F12" t="s">
        <v>55</v>
      </c>
    </row>
    <row r="13" spans="1:20">
      <c r="A13" s="1" t="s">
        <v>56</v>
      </c>
      <c r="B13" s="3" t="s">
        <v>57</v>
      </c>
      <c r="C13" t="s">
        <v>58</v>
      </c>
      <c r="D13" t="s">
        <v>59</v>
      </c>
      <c r="F13" t="s">
        <v>60</v>
      </c>
    </row>
    <row r="14" spans="1:20">
      <c r="A14" s="1" t="s">
        <v>61</v>
      </c>
      <c r="C14" t="s">
        <v>62</v>
      </c>
    </row>
    <row r="15" spans="1:20" s="7" customFormat="1">
      <c r="A15" s="5" t="s">
        <v>63</v>
      </c>
      <c r="B15" s="6">
        <v>7</v>
      </c>
      <c r="C15" s="7">
        <v>3</v>
      </c>
      <c r="D15" s="7" t="s">
        <v>64</v>
      </c>
      <c r="F15" s="7">
        <v>6</v>
      </c>
    </row>
    <row r="16" spans="1:20" s="7" customFormat="1">
      <c r="A16" s="5" t="s">
        <v>65</v>
      </c>
      <c r="B16" s="6">
        <v>3</v>
      </c>
      <c r="C16" s="7">
        <v>1.26</v>
      </c>
      <c r="D16" s="7">
        <v>6.75</v>
      </c>
      <c r="F16" s="7">
        <v>2.5</v>
      </c>
    </row>
    <row r="17" spans="1:14" ht="68.25" customHeight="1">
      <c r="A17" s="1" t="s">
        <v>66</v>
      </c>
      <c r="B17" s="3" t="s">
        <v>67</v>
      </c>
      <c r="C17" s="3" t="s">
        <v>68</v>
      </c>
      <c r="D17" s="3" t="s">
        <v>69</v>
      </c>
      <c r="E17" s="3"/>
      <c r="F17" s="3" t="s">
        <v>70</v>
      </c>
    </row>
    <row r="18" spans="1:14">
      <c r="A18" s="1" t="s">
        <v>71</v>
      </c>
      <c r="B18" s="3" t="s">
        <v>72</v>
      </c>
      <c r="C18" t="s">
        <v>73</v>
      </c>
      <c r="D18" t="s">
        <v>74</v>
      </c>
      <c r="F18" t="s">
        <v>75</v>
      </c>
    </row>
    <row r="19" spans="1:14">
      <c r="A19" s="1" t="s">
        <v>76</v>
      </c>
      <c r="B19" s="3" t="s">
        <v>77</v>
      </c>
      <c r="C19" t="s">
        <v>78</v>
      </c>
      <c r="D19" t="s">
        <v>77</v>
      </c>
      <c r="F19" t="s">
        <v>79</v>
      </c>
      <c r="G19" t="s">
        <v>77</v>
      </c>
      <c r="H19" t="s">
        <v>77</v>
      </c>
      <c r="I19" t="s">
        <v>77</v>
      </c>
      <c r="J19" t="s">
        <v>77</v>
      </c>
      <c r="K19" t="s">
        <v>77</v>
      </c>
      <c r="L19" t="s">
        <v>77</v>
      </c>
      <c r="M19" t="s">
        <v>77</v>
      </c>
      <c r="N19" t="s">
        <v>77</v>
      </c>
    </row>
    <row r="20" spans="1:14">
      <c r="A20" s="1" t="s">
        <v>80</v>
      </c>
      <c r="B20" s="3" t="s">
        <v>81</v>
      </c>
      <c r="C20" t="s">
        <v>81</v>
      </c>
      <c r="D20" t="s">
        <v>81</v>
      </c>
      <c r="F20" t="s">
        <v>81</v>
      </c>
      <c r="G20" t="s">
        <v>81</v>
      </c>
      <c r="H20" t="s">
        <v>81</v>
      </c>
      <c r="I20" t="s">
        <v>81</v>
      </c>
      <c r="J20" t="s">
        <v>81</v>
      </c>
      <c r="K20" t="s">
        <v>81</v>
      </c>
      <c r="L20" t="s">
        <v>81</v>
      </c>
      <c r="M20" t="s">
        <v>81</v>
      </c>
      <c r="N20" t="s">
        <v>81</v>
      </c>
    </row>
    <row r="21" spans="1:14">
      <c r="A21" s="1" t="s">
        <v>82</v>
      </c>
      <c r="B21" s="3" t="s">
        <v>83</v>
      </c>
      <c r="C21" t="s">
        <v>83</v>
      </c>
      <c r="D21" t="s">
        <v>83</v>
      </c>
      <c r="F21" t="s">
        <v>83</v>
      </c>
      <c r="G21" t="s">
        <v>83</v>
      </c>
      <c r="H21" t="s">
        <v>83</v>
      </c>
      <c r="I21" t="s">
        <v>83</v>
      </c>
      <c r="J21" t="s">
        <v>83</v>
      </c>
      <c r="K21" t="s">
        <v>83</v>
      </c>
      <c r="L21" t="s">
        <v>83</v>
      </c>
      <c r="M21" t="s">
        <v>83</v>
      </c>
      <c r="N21" t="s">
        <v>83</v>
      </c>
    </row>
    <row r="22" spans="1:14" ht="116.25" customHeight="1">
      <c r="A22" s="1" t="s">
        <v>84</v>
      </c>
      <c r="B22" s="3" t="s">
        <v>85</v>
      </c>
      <c r="C22" s="3" t="s">
        <v>86</v>
      </c>
      <c r="D22" s="3" t="s">
        <v>87</v>
      </c>
      <c r="E22" s="3"/>
    </row>
    <row r="23" spans="1:14" ht="91.5">
      <c r="A23" s="1" t="s">
        <v>88</v>
      </c>
      <c r="B23" s="3" t="s">
        <v>89</v>
      </c>
      <c r="C23" s="3" t="s">
        <v>90</v>
      </c>
      <c r="D23" s="3" t="s">
        <v>91</v>
      </c>
      <c r="E23" s="3"/>
      <c r="F23" s="3" t="s">
        <v>92</v>
      </c>
    </row>
    <row r="24" spans="1:14" ht="137.25">
      <c r="A24" s="1" t="s">
        <v>93</v>
      </c>
      <c r="B24" s="3" t="s">
        <v>94</v>
      </c>
      <c r="C24" s="3"/>
      <c r="D24" s="3" t="s">
        <v>95</v>
      </c>
      <c r="E24" s="3"/>
      <c r="F24" s="3"/>
    </row>
    <row r="25" spans="1:14" ht="30.75">
      <c r="A25" s="1" t="s">
        <v>96</v>
      </c>
      <c r="B25" s="3" t="s">
        <v>97</v>
      </c>
      <c r="C25" t="s">
        <v>98</v>
      </c>
      <c r="D25" s="3" t="s">
        <v>97</v>
      </c>
      <c r="E25" s="3"/>
      <c r="F25" t="s">
        <v>98</v>
      </c>
    </row>
    <row r="26" spans="1:14" ht="121.5">
      <c r="A26" s="1" t="s">
        <v>99</v>
      </c>
      <c r="B26" s="3" t="s">
        <v>100</v>
      </c>
      <c r="C26" s="3" t="s">
        <v>101</v>
      </c>
      <c r="D26" s="3" t="s">
        <v>102</v>
      </c>
      <c r="E26" s="3"/>
      <c r="F26" s="3" t="s">
        <v>103</v>
      </c>
    </row>
    <row r="27" spans="1:14">
      <c r="A27" s="1" t="s">
        <v>104</v>
      </c>
      <c r="B27" s="3" t="s">
        <v>105</v>
      </c>
    </row>
    <row r="28" spans="1:14">
      <c r="A28" s="1" t="s">
        <v>106</v>
      </c>
      <c r="C28" t="s">
        <v>107</v>
      </c>
    </row>
    <row r="29" spans="1:14">
      <c r="A29" s="1" t="s">
        <v>108</v>
      </c>
    </row>
    <row r="30" spans="1:14" ht="270.75" customHeight="1">
      <c r="A30" s="1" t="s">
        <v>109</v>
      </c>
      <c r="B30" s="3" t="s">
        <v>110</v>
      </c>
      <c r="C30" s="3" t="s">
        <v>111</v>
      </c>
      <c r="D30" s="3" t="s">
        <v>112</v>
      </c>
      <c r="E30" s="3"/>
      <c r="F30" s="3" t="s">
        <v>113</v>
      </c>
    </row>
    <row r="31" spans="1:14" ht="45.75">
      <c r="A31" s="1" t="s">
        <v>114</v>
      </c>
      <c r="B31" s="3" t="s">
        <v>115</v>
      </c>
      <c r="C31" s="3" t="s">
        <v>116</v>
      </c>
      <c r="D31" s="3" t="s">
        <v>117</v>
      </c>
      <c r="E31" s="3"/>
      <c r="F31" s="3" t="s">
        <v>118</v>
      </c>
    </row>
    <row r="32" spans="1:14" ht="137.25">
      <c r="A32" s="1" t="s">
        <v>119</v>
      </c>
      <c r="B32" s="3" t="s">
        <v>120</v>
      </c>
      <c r="C32" s="3" t="s">
        <v>121</v>
      </c>
      <c r="D32" t="s">
        <v>122</v>
      </c>
      <c r="F32" s="3" t="s">
        <v>123</v>
      </c>
    </row>
    <row r="33" spans="1:6" ht="45.75">
      <c r="A33" s="1" t="s">
        <v>124</v>
      </c>
      <c r="B33" s="3" t="s">
        <v>125</v>
      </c>
      <c r="C33" s="3" t="s">
        <v>126</v>
      </c>
      <c r="D33" s="3" t="s">
        <v>127</v>
      </c>
      <c r="F33" s="3" t="s">
        <v>128</v>
      </c>
    </row>
    <row r="34" spans="1:6" ht="91.5">
      <c r="A34" s="1" t="s">
        <v>129</v>
      </c>
      <c r="B34" s="12" t="s">
        <v>130</v>
      </c>
      <c r="C34" s="3" t="s">
        <v>131</v>
      </c>
      <c r="D34" s="3" t="s">
        <v>132</v>
      </c>
      <c r="F34" s="3" t="s">
        <v>133</v>
      </c>
    </row>
    <row r="35" spans="1:6">
      <c r="A35" s="1" t="s">
        <v>134</v>
      </c>
      <c r="B35" s="3" t="s">
        <v>135</v>
      </c>
    </row>
    <row r="36" spans="1:6">
      <c r="A36" s="1" t="s">
        <v>136</v>
      </c>
      <c r="F36" t="s">
        <v>137</v>
      </c>
    </row>
    <row r="37" spans="1:6">
      <c r="A37" s="1" t="s">
        <v>138</v>
      </c>
    </row>
    <row r="38" spans="1:6" ht="45.75">
      <c r="A38" s="1" t="s">
        <v>139</v>
      </c>
      <c r="B38" s="3" t="s">
        <v>140</v>
      </c>
      <c r="C38" s="3" t="s">
        <v>141</v>
      </c>
      <c r="D38" s="3" t="s">
        <v>142</v>
      </c>
      <c r="F38" s="3" t="s">
        <v>143</v>
      </c>
    </row>
    <row r="39" spans="1:6">
      <c r="A39" s="20" t="s">
        <v>144</v>
      </c>
      <c r="B39" s="17" t="str">
        <f>HYPERLINK("#'CL.PAM.SG.FEA'!A1", "CL.PAM.SG.FEA")</f>
        <v>CL.PAM.SG.FEA</v>
      </c>
      <c r="C39" s="19" t="str">
        <f>HYPERLINK("#'CL.SP.MARS'!A1", "CL.SP.MARS")</f>
        <v>CL.SP.MARS</v>
      </c>
      <c r="D39" s="23" t="str">
        <f>HYPERLINK("#'CL.SP.AAG'!A1", "CL.SP.AAG")</f>
        <v>CL.SP.AAG</v>
      </c>
    </row>
    <row r="40" spans="1:6">
      <c r="A40"/>
      <c r="B40" s="9"/>
      <c r="C40" s="8"/>
      <c r="D40" s="8"/>
      <c r="E40" s="8"/>
      <c r="F40" s="8"/>
    </row>
    <row r="41" spans="1:6">
      <c r="A41"/>
      <c r="B41" s="9"/>
      <c r="C41" s="8"/>
      <c r="D41" s="8"/>
      <c r="E41" s="8"/>
      <c r="F41" s="8"/>
    </row>
    <row r="42" spans="1:6">
      <c r="A42"/>
      <c r="B42" s="9"/>
      <c r="C42" s="8"/>
      <c r="D42" s="8"/>
      <c r="E42" s="8"/>
      <c r="F42" s="8"/>
    </row>
    <row r="43" spans="1:6">
      <c r="A43"/>
      <c r="B43" s="9"/>
      <c r="C43" s="8"/>
      <c r="D43" s="8"/>
      <c r="E43" s="8"/>
      <c r="F43" s="8"/>
    </row>
    <row r="44" spans="1:6">
      <c r="A44"/>
      <c r="B44" s="9"/>
      <c r="C44" s="8"/>
      <c r="D44" s="8"/>
      <c r="E44" s="8"/>
      <c r="F44" s="8"/>
    </row>
    <row r="45" spans="1:6">
      <c r="A45"/>
      <c r="B45" s="9"/>
      <c r="C45" s="8"/>
      <c r="D45" s="8"/>
      <c r="E45" s="8"/>
      <c r="F45" s="8"/>
    </row>
    <row r="46" spans="1:6">
      <c r="A46"/>
      <c r="B46" s="9"/>
      <c r="C46" s="8"/>
      <c r="D46" s="8"/>
      <c r="E46" s="8"/>
      <c r="F46" s="8"/>
    </row>
    <row r="47" spans="1:6">
      <c r="A47"/>
      <c r="B47" s="9"/>
      <c r="C47" s="8"/>
      <c r="D47" s="8"/>
      <c r="E47" s="8"/>
      <c r="F47" s="8"/>
    </row>
    <row r="48" spans="1:6">
      <c r="A48"/>
      <c r="B48" s="9"/>
      <c r="C48" s="8"/>
      <c r="D48" s="8"/>
      <c r="E48" s="8"/>
      <c r="F48" s="8"/>
    </row>
    <row r="49" spans="1:6">
      <c r="A49"/>
      <c r="B49" s="9"/>
      <c r="C49" s="8"/>
      <c r="D49" s="8"/>
      <c r="E49" s="8"/>
      <c r="F49" s="8"/>
    </row>
    <row r="50" spans="1:6">
      <c r="A50"/>
      <c r="B50" s="9"/>
      <c r="C50" s="8"/>
      <c r="D50" s="8"/>
      <c r="E50" s="8"/>
      <c r="F50" s="8"/>
    </row>
    <row r="51" spans="1:6">
      <c r="A51"/>
      <c r="B51" s="9"/>
      <c r="C51" s="8"/>
      <c r="D51" s="8"/>
      <c r="E51" s="8"/>
      <c r="F51" s="8"/>
    </row>
    <row r="52" spans="1:6">
      <c r="A52"/>
      <c r="B52" s="9"/>
      <c r="C52" s="8"/>
      <c r="D52" s="8"/>
      <c r="E52" s="8"/>
      <c r="F52" s="8"/>
    </row>
    <row r="53" spans="1:6">
      <c r="A53"/>
      <c r="B53" s="9"/>
      <c r="C53" s="8"/>
      <c r="D53" s="8"/>
      <c r="E53" s="8"/>
      <c r="F53" s="8"/>
    </row>
    <row r="54" spans="1:6">
      <c r="A54"/>
      <c r="B54" s="9"/>
      <c r="C54" s="8"/>
      <c r="D54" s="8"/>
      <c r="E54" s="8"/>
      <c r="F54" s="8"/>
    </row>
    <row r="55" spans="1:6">
      <c r="A55"/>
      <c r="B55" s="9"/>
      <c r="C55" s="8"/>
      <c r="D55" s="8"/>
      <c r="E55" s="8"/>
      <c r="F55" s="8"/>
    </row>
    <row r="56" spans="1:6">
      <c r="A56"/>
      <c r="B56" s="9"/>
      <c r="C56" s="8"/>
      <c r="D56" s="8"/>
      <c r="E56" s="8"/>
      <c r="F56" s="8"/>
    </row>
    <row r="57" spans="1:6">
      <c r="A57"/>
      <c r="B57" s="9"/>
      <c r="C57" s="8"/>
      <c r="D57" s="8"/>
      <c r="E57" s="8"/>
      <c r="F57" s="8"/>
    </row>
    <row r="58" spans="1:6">
      <c r="A58"/>
      <c r="B58" s="9"/>
      <c r="C58" s="8"/>
      <c r="D58" s="8"/>
      <c r="E58" s="8"/>
      <c r="F58" s="8"/>
    </row>
    <row r="59" spans="1:6">
      <c r="A59"/>
      <c r="B59" s="9"/>
      <c r="C59" s="8"/>
      <c r="D59" s="8"/>
      <c r="E59" s="8"/>
      <c r="F59" s="8"/>
    </row>
    <row r="60" spans="1:6">
      <c r="A60"/>
      <c r="B60" s="9"/>
      <c r="C60" s="8"/>
      <c r="D60" s="8"/>
      <c r="E60" s="8"/>
      <c r="F60" s="8"/>
    </row>
    <row r="61" spans="1:6">
      <c r="A61"/>
      <c r="B61" s="9"/>
      <c r="C61" s="8"/>
      <c r="D61" s="8"/>
      <c r="E61" s="8"/>
      <c r="F61" s="8"/>
    </row>
    <row r="62" spans="1:6">
      <c r="A62"/>
      <c r="B62" s="9"/>
      <c r="C62" s="8"/>
      <c r="D62" s="8"/>
      <c r="E62" s="8"/>
      <c r="F62" s="8"/>
    </row>
    <row r="63" spans="1:6">
      <c r="A63"/>
      <c r="B63" s="9"/>
      <c r="C63" s="8"/>
      <c r="D63" s="8"/>
      <c r="E63" s="8"/>
      <c r="F63" s="8"/>
    </row>
    <row r="64" spans="1:6">
      <c r="A64"/>
      <c r="B64" s="9"/>
      <c r="C64" s="8"/>
      <c r="D64" s="8"/>
      <c r="E64" s="8"/>
      <c r="F64" s="8"/>
    </row>
    <row r="65" spans="1:6">
      <c r="A65"/>
      <c r="B65" s="9"/>
      <c r="C65" s="8"/>
      <c r="D65" s="8"/>
      <c r="E65" s="8"/>
      <c r="F65" s="8"/>
    </row>
    <row r="66" spans="1:6">
      <c r="A66"/>
      <c r="B66" s="9"/>
      <c r="C66" s="8"/>
      <c r="D66" s="8"/>
      <c r="E66" s="8"/>
      <c r="F66" s="8"/>
    </row>
    <row r="67" spans="1:6">
      <c r="A67"/>
      <c r="B67" s="9"/>
      <c r="C67" s="8"/>
      <c r="D67" s="8"/>
      <c r="E67" s="8"/>
      <c r="F67" s="8"/>
    </row>
    <row r="68" spans="1:6">
      <c r="A68"/>
      <c r="B68" s="9"/>
      <c r="C68" s="8"/>
      <c r="D68" s="8"/>
      <c r="E68" s="8"/>
      <c r="F68" s="8"/>
    </row>
    <row r="69" spans="1:6">
      <c r="A69"/>
      <c r="B69" s="9"/>
      <c r="C69" s="8"/>
      <c r="D69" s="8"/>
      <c r="E69" s="8"/>
      <c r="F69" s="8"/>
    </row>
    <row r="70" spans="1:6">
      <c r="A70"/>
      <c r="B70" s="9"/>
      <c r="C70" s="8"/>
      <c r="D70" s="8"/>
      <c r="E70" s="8"/>
      <c r="F70" s="8"/>
    </row>
    <row r="71" spans="1:6">
      <c r="A71"/>
      <c r="B71" s="9"/>
      <c r="C71" s="8"/>
      <c r="D71" s="8"/>
      <c r="E71" s="8"/>
      <c r="F71" s="8"/>
    </row>
    <row r="72" spans="1:6">
      <c r="A72"/>
      <c r="B72" s="9"/>
      <c r="C72" s="8"/>
      <c r="D72" s="8"/>
      <c r="E72" s="8"/>
      <c r="F72" s="8"/>
    </row>
    <row r="73" spans="1:6">
      <c r="A73"/>
      <c r="B73" s="9"/>
      <c r="C73" s="8"/>
      <c r="D73" s="8"/>
      <c r="E73" s="8"/>
      <c r="F73" s="8"/>
    </row>
    <row r="74" spans="1:6">
      <c r="A74"/>
      <c r="B74" s="9"/>
      <c r="C74" s="8"/>
      <c r="D74" s="8"/>
      <c r="E74" s="8"/>
      <c r="F74" s="8"/>
    </row>
    <row r="75" spans="1:6">
      <c r="A75"/>
      <c r="B75" s="9"/>
      <c r="C75" s="8"/>
      <c r="D75" s="8"/>
      <c r="E75" s="8"/>
      <c r="F75" s="8"/>
    </row>
    <row r="76" spans="1:6">
      <c r="A76"/>
      <c r="B76" s="9"/>
      <c r="C76" s="8"/>
      <c r="D76" s="8"/>
      <c r="E76" s="8"/>
      <c r="F76" s="8"/>
    </row>
    <row r="77" spans="1:6">
      <c r="A77"/>
      <c r="B77" s="9"/>
      <c r="C77" s="8"/>
      <c r="D77" s="8"/>
      <c r="E77" s="8"/>
      <c r="F77" s="8"/>
    </row>
    <row r="78" spans="1:6">
      <c r="A78"/>
      <c r="B78" s="9"/>
      <c r="C78" s="8"/>
      <c r="D78" s="8"/>
      <c r="E78" s="8"/>
      <c r="F78" s="8"/>
    </row>
    <row r="79" spans="1:6">
      <c r="A79"/>
      <c r="B79" s="9"/>
      <c r="C79" s="8"/>
      <c r="D79" s="8"/>
      <c r="E79" s="8"/>
      <c r="F79" s="8"/>
    </row>
    <row r="80" spans="1:6">
      <c r="A80"/>
      <c r="B80" s="9"/>
      <c r="C80" s="8"/>
      <c r="D80" s="8"/>
      <c r="E80" s="8"/>
      <c r="F80" s="8"/>
    </row>
    <row r="81" spans="1:6">
      <c r="A81"/>
      <c r="B81" s="9"/>
      <c r="C81" s="8"/>
      <c r="D81" s="8"/>
      <c r="E81" s="8"/>
      <c r="F81" s="8"/>
    </row>
    <row r="82" spans="1:6">
      <c r="A82"/>
      <c r="B82" s="9"/>
      <c r="C82" s="8"/>
      <c r="D82" s="8"/>
      <c r="E82" s="8"/>
      <c r="F82" s="8"/>
    </row>
    <row r="83" spans="1:6">
      <c r="A83"/>
      <c r="B83" s="9"/>
      <c r="C83" s="8"/>
      <c r="D83" s="8"/>
      <c r="E83" s="8"/>
      <c r="F83" s="8"/>
    </row>
    <row r="84" spans="1:6">
      <c r="A84"/>
      <c r="B84" s="9"/>
      <c r="C84" s="8"/>
      <c r="D84" s="8"/>
      <c r="E84" s="8"/>
      <c r="F84" s="8"/>
    </row>
    <row r="85" spans="1:6">
      <c r="A85"/>
      <c r="B85" s="9"/>
      <c r="C85" s="8"/>
      <c r="D85" s="8"/>
      <c r="E85" s="8"/>
      <c r="F85" s="8"/>
    </row>
    <row r="86" spans="1:6">
      <c r="A86"/>
      <c r="B86" s="9"/>
      <c r="C86" s="8"/>
      <c r="D86" s="8"/>
      <c r="E86" s="8"/>
      <c r="F86" s="8"/>
    </row>
    <row r="87" spans="1:6">
      <c r="A87"/>
      <c r="B87" s="9"/>
      <c r="C87" s="8"/>
      <c r="D87" s="8"/>
      <c r="E87" s="8"/>
      <c r="F87" s="8"/>
    </row>
    <row r="88" spans="1:6">
      <c r="A88"/>
      <c r="B88" s="9"/>
      <c r="C88" s="8"/>
      <c r="D88" s="8"/>
      <c r="E88" s="8"/>
      <c r="F88" s="8"/>
    </row>
    <row r="89" spans="1:6">
      <c r="A89"/>
      <c r="B89" s="9"/>
      <c r="C89" s="8"/>
      <c r="D89" s="8"/>
      <c r="E89" s="8"/>
      <c r="F89" s="8"/>
    </row>
    <row r="90" spans="1:6">
      <c r="A90"/>
      <c r="B90" s="9"/>
      <c r="C90" s="8"/>
      <c r="D90" s="8"/>
      <c r="E90" s="8"/>
      <c r="F90" s="8"/>
    </row>
    <row r="91" spans="1:6">
      <c r="A91"/>
      <c r="B91" s="9"/>
      <c r="C91" s="8"/>
      <c r="D91" s="8"/>
      <c r="E91" s="8"/>
      <c r="F91" s="8"/>
    </row>
    <row r="92" spans="1:6">
      <c r="A92"/>
      <c r="B92" s="9"/>
      <c r="C92" s="8"/>
      <c r="D92" s="8"/>
      <c r="E92" s="8"/>
      <c r="F92" s="8"/>
    </row>
    <row r="93" spans="1:6">
      <c r="A93"/>
      <c r="B93" s="9"/>
      <c r="C93" s="8"/>
      <c r="D93" s="8"/>
      <c r="E93" s="8"/>
      <c r="F93" s="8"/>
    </row>
    <row r="94" spans="1:6">
      <c r="A94"/>
      <c r="B94" s="9"/>
      <c r="C94" s="8"/>
      <c r="D94" s="8"/>
      <c r="E94" s="8"/>
      <c r="F94" s="8"/>
    </row>
    <row r="95" spans="1:6">
      <c r="A95"/>
      <c r="B95" s="9"/>
      <c r="C95" s="8"/>
      <c r="D95" s="8"/>
      <c r="E95" s="8"/>
      <c r="F95" s="8"/>
    </row>
    <row r="96" spans="1:6">
      <c r="A96"/>
      <c r="B96" s="9"/>
      <c r="C96" s="8"/>
      <c r="D96" s="8"/>
      <c r="E96" s="8"/>
      <c r="F96" s="8"/>
    </row>
    <row r="97" spans="1:6">
      <c r="A97"/>
      <c r="B97" s="9"/>
      <c r="C97" s="8"/>
      <c r="D97" s="8"/>
      <c r="E97" s="8"/>
      <c r="F97" s="8"/>
    </row>
    <row r="98" spans="1:6">
      <c r="A98"/>
      <c r="B98" s="9"/>
      <c r="C98" s="8"/>
      <c r="D98" s="8"/>
      <c r="E98" s="8"/>
      <c r="F98" s="8"/>
    </row>
    <row r="99" spans="1:6">
      <c r="A99"/>
      <c r="B99" s="9"/>
      <c r="C99" s="8"/>
      <c r="D99" s="8"/>
      <c r="E99" s="8"/>
      <c r="F99" s="8"/>
    </row>
    <row r="100" spans="1:6">
      <c r="A100"/>
      <c r="B100" s="9"/>
      <c r="C100" s="8"/>
      <c r="D100" s="8"/>
      <c r="E100" s="8"/>
      <c r="F100" s="8"/>
    </row>
    <row r="101" spans="1:6">
      <c r="A101"/>
      <c r="B101" s="9"/>
      <c r="C101" s="8"/>
      <c r="D101" s="8"/>
      <c r="E101" s="8"/>
      <c r="F101" s="8"/>
    </row>
    <row r="102" spans="1:6">
      <c r="A102"/>
      <c r="B102" s="9"/>
      <c r="C102" s="8"/>
      <c r="D102" s="8"/>
      <c r="E102" s="8"/>
      <c r="F102" s="8"/>
    </row>
    <row r="103" spans="1:6">
      <c r="A103"/>
      <c r="B103" s="9"/>
      <c r="C103" s="8"/>
      <c r="D103" s="8"/>
      <c r="E103" s="8"/>
      <c r="F103" s="8"/>
    </row>
    <row r="104" spans="1:6">
      <c r="A104"/>
      <c r="B104" s="9"/>
      <c r="C104" s="8"/>
      <c r="D104" s="8"/>
      <c r="E104" s="8"/>
      <c r="F104" s="8"/>
    </row>
    <row r="105" spans="1:6">
      <c r="A105"/>
      <c r="B105" s="9"/>
      <c r="C105" s="8"/>
      <c r="D105" s="8"/>
      <c r="E105" s="8"/>
      <c r="F105" s="8"/>
    </row>
    <row r="106" spans="1:6">
      <c r="A106"/>
      <c r="B106" s="9"/>
      <c r="C106" s="8"/>
      <c r="D106" s="8"/>
      <c r="E106" s="8"/>
      <c r="F106" s="8"/>
    </row>
    <row r="107" spans="1:6">
      <c r="A107"/>
      <c r="B107" s="9"/>
      <c r="C107" s="8"/>
      <c r="D107" s="8"/>
      <c r="E107" s="8"/>
      <c r="F107" s="8"/>
    </row>
    <row r="108" spans="1:6">
      <c r="A108"/>
      <c r="B108" s="9"/>
      <c r="C108" s="8"/>
      <c r="D108" s="8"/>
      <c r="E108" s="8"/>
      <c r="F108" s="8"/>
    </row>
    <row r="109" spans="1:6">
      <c r="A109"/>
      <c r="B109" s="9"/>
      <c r="C109" s="8"/>
      <c r="D109" s="8"/>
      <c r="E109" s="8"/>
      <c r="F109" s="8"/>
    </row>
    <row r="110" spans="1:6">
      <c r="A110"/>
      <c r="B110" s="9"/>
      <c r="C110" s="8"/>
      <c r="D110" s="8"/>
      <c r="E110" s="8"/>
      <c r="F110" s="8"/>
    </row>
    <row r="111" spans="1:6">
      <c r="A111"/>
      <c r="B111" s="9"/>
      <c r="C111" s="8"/>
      <c r="D111" s="8"/>
      <c r="E111" s="8"/>
      <c r="F111" s="8"/>
    </row>
    <row r="112" spans="1:6">
      <c r="A112"/>
      <c r="B112" s="9"/>
      <c r="C112" s="8"/>
      <c r="D112" s="8"/>
      <c r="E112" s="8"/>
      <c r="F112" s="8"/>
    </row>
    <row r="113" spans="1:6">
      <c r="A113"/>
      <c r="B113" s="9"/>
      <c r="C113" s="8"/>
      <c r="D113" s="8"/>
      <c r="E113" s="8"/>
      <c r="F113" s="8"/>
    </row>
    <row r="114" spans="1:6">
      <c r="A114"/>
      <c r="B114" s="9"/>
      <c r="C114" s="8"/>
      <c r="D114" s="8"/>
      <c r="E114" s="8"/>
      <c r="F114" s="8"/>
    </row>
    <row r="115" spans="1:6">
      <c r="A115"/>
      <c r="B115" s="9"/>
      <c r="C115" s="8"/>
      <c r="D115" s="8"/>
      <c r="E115" s="8"/>
      <c r="F115" s="8"/>
    </row>
    <row r="116" spans="1:6">
      <c r="A116"/>
      <c r="B116" s="9"/>
      <c r="C116" s="8"/>
      <c r="D116" s="8"/>
      <c r="E116" s="8"/>
      <c r="F116" s="8"/>
    </row>
    <row r="117" spans="1:6">
      <c r="A117"/>
      <c r="B117" s="9"/>
      <c r="C117" s="8"/>
      <c r="D117" s="8"/>
      <c r="E117" s="8"/>
      <c r="F117" s="8"/>
    </row>
    <row r="118" spans="1:6">
      <c r="A118"/>
      <c r="B118" s="9"/>
      <c r="C118" s="8"/>
      <c r="D118" s="8"/>
      <c r="E118" s="8"/>
      <c r="F118" s="8"/>
    </row>
    <row r="119" spans="1:6">
      <c r="A119"/>
      <c r="B119" s="9"/>
      <c r="C119" s="8"/>
      <c r="D119" s="8"/>
      <c r="E119" s="8"/>
      <c r="F119" s="8"/>
    </row>
    <row r="120" spans="1:6">
      <c r="A120"/>
      <c r="B120" s="9"/>
      <c r="C120" s="8"/>
      <c r="D120" s="8"/>
      <c r="E120" s="8"/>
      <c r="F120" s="8"/>
    </row>
    <row r="121" spans="1:6">
      <c r="A121"/>
      <c r="B121" s="9"/>
      <c r="C121" s="8"/>
      <c r="D121" s="8"/>
      <c r="E121" s="8"/>
      <c r="F121" s="8"/>
    </row>
    <row r="122" spans="1:6">
      <c r="A122"/>
      <c r="B122" s="9"/>
      <c r="C122" s="8"/>
      <c r="D122" s="8"/>
      <c r="E122" s="8"/>
      <c r="F122" s="8"/>
    </row>
    <row r="123" spans="1:6">
      <c r="A123"/>
      <c r="B123" s="9"/>
      <c r="C123" s="8"/>
      <c r="D123" s="8"/>
      <c r="E123" s="8"/>
      <c r="F123" s="8"/>
    </row>
    <row r="124" spans="1:6">
      <c r="A124"/>
      <c r="B124" s="9"/>
      <c r="C124" s="8"/>
      <c r="D124" s="8"/>
      <c r="E124" s="8"/>
      <c r="F124" s="8"/>
    </row>
    <row r="125" spans="1:6">
      <c r="A125"/>
      <c r="B125" s="9"/>
      <c r="C125" s="8"/>
      <c r="D125" s="8"/>
      <c r="E125" s="8"/>
      <c r="F125" s="8"/>
    </row>
    <row r="126" spans="1:6">
      <c r="A126"/>
      <c r="B126" s="9"/>
      <c r="C126" s="8"/>
      <c r="D126" s="8"/>
      <c r="E126" s="8"/>
      <c r="F126" s="8"/>
    </row>
    <row r="127" spans="1:6">
      <c r="A127"/>
      <c r="B127" s="9"/>
      <c r="C127" s="8"/>
      <c r="D127" s="8"/>
      <c r="E127" s="8"/>
      <c r="F127" s="8"/>
    </row>
    <row r="128" spans="1:6">
      <c r="A128"/>
      <c r="B128" s="9"/>
      <c r="C128" s="8"/>
      <c r="D128" s="8"/>
      <c r="E128" s="8"/>
      <c r="F128" s="8"/>
    </row>
    <row r="129" spans="1:6">
      <c r="A129"/>
      <c r="B129" s="9"/>
      <c r="C129" s="8"/>
      <c r="D129" s="8"/>
      <c r="E129" s="8"/>
      <c r="F129" s="8"/>
    </row>
    <row r="130" spans="1:6">
      <c r="A130"/>
      <c r="B130" s="9"/>
      <c r="C130" s="8"/>
      <c r="D130" s="8"/>
      <c r="E130" s="8"/>
      <c r="F130" s="8"/>
    </row>
    <row r="131" spans="1:6">
      <c r="A131"/>
      <c r="B131" s="9"/>
      <c r="C131" s="8"/>
      <c r="D131" s="8"/>
      <c r="E131" s="8"/>
      <c r="F131" s="8"/>
    </row>
    <row r="132" spans="1:6">
      <c r="A132"/>
      <c r="B132" s="9"/>
      <c r="C132" s="8"/>
      <c r="D132" s="8"/>
      <c r="E132" s="8"/>
      <c r="F132" s="8"/>
    </row>
    <row r="133" spans="1:6">
      <c r="A133"/>
      <c r="B133" s="9"/>
      <c r="C133" s="8"/>
      <c r="D133" s="8"/>
      <c r="E133" s="8"/>
      <c r="F133" s="8"/>
    </row>
    <row r="134" spans="1:6">
      <c r="A134"/>
      <c r="B134" s="9"/>
      <c r="C134" s="8"/>
      <c r="D134" s="8"/>
      <c r="E134" s="8"/>
      <c r="F134" s="8"/>
    </row>
    <row r="135" spans="1:6">
      <c r="A135"/>
      <c r="B135" s="9"/>
      <c r="C135" s="8"/>
      <c r="D135" s="8"/>
      <c r="E135" s="8"/>
      <c r="F135" s="8"/>
    </row>
    <row r="136" spans="1:6">
      <c r="A136"/>
      <c r="B136" s="9"/>
      <c r="C136" s="8"/>
      <c r="D136" s="8"/>
      <c r="E136" s="8"/>
      <c r="F136" s="8"/>
    </row>
    <row r="137" spans="1:6">
      <c r="A137"/>
      <c r="B137" s="9"/>
      <c r="C137" s="8"/>
      <c r="D137" s="8"/>
      <c r="E137" s="8"/>
      <c r="F137" s="8"/>
    </row>
    <row r="138" spans="1:6">
      <c r="A138"/>
      <c r="B138" s="9"/>
      <c r="C138" s="8"/>
      <c r="D138" s="8"/>
      <c r="E138" s="8"/>
      <c r="F138" s="8"/>
    </row>
    <row r="139" spans="1:6">
      <c r="A139"/>
      <c r="B139" s="9"/>
      <c r="C139" s="8"/>
      <c r="D139" s="8"/>
      <c r="E139" s="8"/>
      <c r="F139" s="8"/>
    </row>
    <row r="140" spans="1:6">
      <c r="A140"/>
      <c r="B140" s="9"/>
      <c r="C140" s="8"/>
      <c r="D140" s="8"/>
      <c r="E140" s="8"/>
      <c r="F140" s="8"/>
    </row>
    <row r="141" spans="1:6">
      <c r="A141"/>
      <c r="B141" s="9"/>
      <c r="C141" s="8"/>
      <c r="D141" s="8"/>
      <c r="E141" s="8"/>
      <c r="F141" s="8"/>
    </row>
    <row r="142" spans="1:6" ht="15.75">
      <c r="A142"/>
      <c r="B142" s="10"/>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04BADC-6B39-42FE-A516-381BBE2C87BC}">
  <dimension ref="A1:E106"/>
  <sheetViews>
    <sheetView topLeftCell="A96" workbookViewId="0"/>
  </sheetViews>
  <sheetFormatPr defaultColWidth="0" defaultRowHeight="15"/>
  <cols>
    <col min="1" max="1" width="49.5703125" style="14" customWidth="1"/>
    <col min="2" max="3" width="9.140625" style="14" customWidth="1"/>
    <col min="4" max="4" width="29.7109375" style="14" customWidth="1"/>
    <col min="5" max="5" width="74.28515625" style="14" customWidth="1"/>
    <col min="6" max="16384" width="0" style="14" hidden="1"/>
  </cols>
  <sheetData>
    <row r="1" spans="1:5">
      <c r="A1" s="13" t="s">
        <v>145</v>
      </c>
      <c r="B1" s="13" t="s">
        <v>146</v>
      </c>
      <c r="C1" s="13" t="s">
        <v>147</v>
      </c>
      <c r="D1" s="13" t="s">
        <v>148</v>
      </c>
      <c r="E1" s="13" t="s">
        <v>51</v>
      </c>
    </row>
    <row r="2" spans="1:5">
      <c r="A2" s="24" t="s">
        <v>149</v>
      </c>
      <c r="B2" s="25">
        <v>1</v>
      </c>
      <c r="C2" s="25">
        <v>1</v>
      </c>
      <c r="D2" s="15" t="s">
        <v>150</v>
      </c>
      <c r="E2" s="16" t="s">
        <v>151</v>
      </c>
    </row>
    <row r="3" spans="1:5">
      <c r="A3" s="24" t="s">
        <v>149</v>
      </c>
      <c r="B3" s="25">
        <v>1</v>
      </c>
      <c r="C3" s="25">
        <v>2</v>
      </c>
      <c r="D3" s="15" t="s">
        <v>152</v>
      </c>
      <c r="E3" s="16" t="s">
        <v>151</v>
      </c>
    </row>
    <row r="4" spans="1:5">
      <c r="A4" s="24" t="s">
        <v>149</v>
      </c>
      <c r="B4" s="25">
        <v>1</v>
      </c>
      <c r="C4" s="25">
        <v>3</v>
      </c>
      <c r="D4" s="15" t="s">
        <v>153</v>
      </c>
      <c r="E4" s="16" t="s">
        <v>151</v>
      </c>
    </row>
    <row r="5" spans="1:5">
      <c r="A5" s="24" t="s">
        <v>154</v>
      </c>
      <c r="B5" s="15" t="s">
        <v>155</v>
      </c>
      <c r="C5" s="15" t="s">
        <v>156</v>
      </c>
      <c r="D5" s="15" t="s">
        <v>157</v>
      </c>
      <c r="E5" s="15" t="s">
        <v>158</v>
      </c>
    </row>
    <row r="6" spans="1:5">
      <c r="A6" s="24" t="s">
        <v>154</v>
      </c>
      <c r="B6" s="15" t="s">
        <v>155</v>
      </c>
      <c r="C6" s="15" t="s">
        <v>159</v>
      </c>
      <c r="D6" s="15" t="s">
        <v>160</v>
      </c>
      <c r="E6" s="15" t="s">
        <v>158</v>
      </c>
    </row>
    <row r="7" spans="1:5">
      <c r="A7" s="24" t="s">
        <v>154</v>
      </c>
      <c r="B7" s="15" t="s">
        <v>155</v>
      </c>
      <c r="C7" s="15" t="s">
        <v>161</v>
      </c>
      <c r="D7" s="15" t="s">
        <v>160</v>
      </c>
      <c r="E7" s="15" t="s">
        <v>162</v>
      </c>
    </row>
    <row r="8" spans="1:5">
      <c r="A8" s="24" t="s">
        <v>154</v>
      </c>
      <c r="B8" s="15" t="s">
        <v>155</v>
      </c>
      <c r="C8" s="15" t="s">
        <v>163</v>
      </c>
      <c r="D8" s="15" t="s">
        <v>160</v>
      </c>
      <c r="E8" s="15" t="s">
        <v>164</v>
      </c>
    </row>
    <row r="9" spans="1:5">
      <c r="A9" s="24" t="s">
        <v>154</v>
      </c>
      <c r="B9" s="15" t="s">
        <v>155</v>
      </c>
      <c r="C9" s="15" t="s">
        <v>165</v>
      </c>
      <c r="D9" s="15" t="s">
        <v>160</v>
      </c>
      <c r="E9" s="15" t="s">
        <v>166</v>
      </c>
    </row>
    <row r="10" spans="1:5">
      <c r="A10" s="24" t="s">
        <v>154</v>
      </c>
      <c r="B10" s="15" t="s">
        <v>155</v>
      </c>
      <c r="C10" s="15" t="s">
        <v>167</v>
      </c>
      <c r="D10" s="15" t="s">
        <v>160</v>
      </c>
      <c r="E10" s="15" t="s">
        <v>168</v>
      </c>
    </row>
    <row r="11" spans="1:5">
      <c r="A11" s="24" t="s">
        <v>154</v>
      </c>
      <c r="B11" s="15" t="s">
        <v>155</v>
      </c>
      <c r="C11" s="15" t="s">
        <v>169</v>
      </c>
      <c r="D11" s="15" t="s">
        <v>170</v>
      </c>
      <c r="E11" s="15" t="s">
        <v>158</v>
      </c>
    </row>
    <row r="12" spans="1:5">
      <c r="A12" s="24" t="s">
        <v>154</v>
      </c>
      <c r="B12" s="15" t="s">
        <v>155</v>
      </c>
      <c r="C12" s="15" t="s">
        <v>171</v>
      </c>
      <c r="D12" s="15" t="s">
        <v>170</v>
      </c>
      <c r="E12" s="15" t="s">
        <v>162</v>
      </c>
    </row>
    <row r="13" spans="1:5">
      <c r="A13" s="24" t="s">
        <v>154</v>
      </c>
      <c r="B13" s="15" t="s">
        <v>155</v>
      </c>
      <c r="C13" s="15" t="s">
        <v>172</v>
      </c>
      <c r="D13" s="15" t="s">
        <v>170</v>
      </c>
      <c r="E13" s="15" t="s">
        <v>164</v>
      </c>
    </row>
    <row r="14" spans="1:5">
      <c r="A14" s="24" t="s">
        <v>154</v>
      </c>
      <c r="B14" s="15" t="s">
        <v>155</v>
      </c>
      <c r="C14" s="15" t="s">
        <v>173</v>
      </c>
      <c r="D14" s="15" t="s">
        <v>170</v>
      </c>
      <c r="E14" s="15" t="s">
        <v>174</v>
      </c>
    </row>
    <row r="15" spans="1:5">
      <c r="A15" s="24" t="s">
        <v>154</v>
      </c>
      <c r="B15" s="15" t="s">
        <v>155</v>
      </c>
      <c r="C15" s="15" t="s">
        <v>175</v>
      </c>
      <c r="D15" s="15" t="s">
        <v>176</v>
      </c>
      <c r="E15" s="15" t="s">
        <v>177</v>
      </c>
    </row>
    <row r="16" spans="1:5">
      <c r="A16" s="24" t="s">
        <v>154</v>
      </c>
      <c r="B16" s="15" t="s">
        <v>155</v>
      </c>
      <c r="C16" s="15" t="s">
        <v>178</v>
      </c>
      <c r="D16" s="15" t="s">
        <v>176</v>
      </c>
      <c r="E16" s="15" t="s">
        <v>179</v>
      </c>
    </row>
    <row r="17" spans="1:5">
      <c r="A17" s="24" t="s">
        <v>154</v>
      </c>
      <c r="B17" s="15" t="s">
        <v>155</v>
      </c>
      <c r="C17" s="15" t="s">
        <v>180</v>
      </c>
      <c r="D17" s="15" t="s">
        <v>181</v>
      </c>
      <c r="E17" s="15" t="s">
        <v>182</v>
      </c>
    </row>
    <row r="18" spans="1:5">
      <c r="A18" s="24" t="s">
        <v>154</v>
      </c>
      <c r="B18" s="15" t="s">
        <v>183</v>
      </c>
      <c r="C18" s="15" t="s">
        <v>155</v>
      </c>
      <c r="D18" s="15" t="s">
        <v>184</v>
      </c>
      <c r="E18" s="15" t="s">
        <v>158</v>
      </c>
    </row>
    <row r="19" spans="1:5">
      <c r="A19" s="24" t="s">
        <v>154</v>
      </c>
      <c r="B19" s="15" t="s">
        <v>183</v>
      </c>
      <c r="C19" s="15" t="s">
        <v>183</v>
      </c>
      <c r="D19" s="15" t="s">
        <v>184</v>
      </c>
      <c r="E19" s="15" t="s">
        <v>162</v>
      </c>
    </row>
    <row r="20" spans="1:5">
      <c r="A20" s="24" t="s">
        <v>154</v>
      </c>
      <c r="B20" s="15" t="s">
        <v>183</v>
      </c>
      <c r="C20" s="15" t="s">
        <v>185</v>
      </c>
      <c r="D20" s="15" t="s">
        <v>184</v>
      </c>
      <c r="E20" s="15" t="s">
        <v>164</v>
      </c>
    </row>
    <row r="21" spans="1:5">
      <c r="A21" s="24" t="s">
        <v>154</v>
      </c>
      <c r="B21" s="15" t="s">
        <v>183</v>
      </c>
      <c r="C21" s="15" t="s">
        <v>156</v>
      </c>
      <c r="D21" s="15" t="s">
        <v>184</v>
      </c>
      <c r="E21" s="15" t="s">
        <v>186</v>
      </c>
    </row>
    <row r="22" spans="1:5">
      <c r="A22" s="24" t="s">
        <v>154</v>
      </c>
      <c r="B22" s="15" t="s">
        <v>183</v>
      </c>
      <c r="C22" s="15" t="s">
        <v>159</v>
      </c>
      <c r="D22" s="15" t="s">
        <v>187</v>
      </c>
      <c r="E22" s="15" t="s">
        <v>158</v>
      </c>
    </row>
    <row r="23" spans="1:5">
      <c r="A23" s="24" t="s">
        <v>154</v>
      </c>
      <c r="B23" s="15" t="s">
        <v>183</v>
      </c>
      <c r="C23" s="15" t="s">
        <v>161</v>
      </c>
      <c r="D23" s="15" t="s">
        <v>187</v>
      </c>
      <c r="E23" s="15" t="s">
        <v>162</v>
      </c>
    </row>
    <row r="24" spans="1:5">
      <c r="A24" s="24" t="s">
        <v>154</v>
      </c>
      <c r="B24" s="15" t="s">
        <v>183</v>
      </c>
      <c r="C24" s="15" t="s">
        <v>163</v>
      </c>
      <c r="D24" s="15" t="s">
        <v>187</v>
      </c>
      <c r="E24" s="15" t="s">
        <v>188</v>
      </c>
    </row>
    <row r="25" spans="1:5">
      <c r="A25" s="24" t="s">
        <v>154</v>
      </c>
      <c r="B25" s="15" t="s">
        <v>183</v>
      </c>
      <c r="C25" s="15" t="s">
        <v>165</v>
      </c>
      <c r="D25" s="15" t="s">
        <v>187</v>
      </c>
      <c r="E25" s="15" t="s">
        <v>189</v>
      </c>
    </row>
    <row r="26" spans="1:5">
      <c r="A26" s="24" t="s">
        <v>154</v>
      </c>
      <c r="B26" s="15" t="s">
        <v>183</v>
      </c>
      <c r="C26" s="15" t="s">
        <v>167</v>
      </c>
      <c r="D26" s="15" t="s">
        <v>187</v>
      </c>
      <c r="E26" s="15" t="s">
        <v>190</v>
      </c>
    </row>
    <row r="27" spans="1:5">
      <c r="A27" s="24" t="s">
        <v>154</v>
      </c>
      <c r="B27" s="15" t="s">
        <v>183</v>
      </c>
      <c r="C27" s="15" t="s">
        <v>169</v>
      </c>
      <c r="D27" s="15" t="s">
        <v>191</v>
      </c>
      <c r="E27" s="15" t="s">
        <v>158</v>
      </c>
    </row>
    <row r="28" spans="1:5">
      <c r="A28" s="24" t="s">
        <v>154</v>
      </c>
      <c r="B28" s="15" t="s">
        <v>183</v>
      </c>
      <c r="C28" s="15" t="s">
        <v>171</v>
      </c>
      <c r="D28" s="15" t="s">
        <v>191</v>
      </c>
      <c r="E28" s="15" t="s">
        <v>162</v>
      </c>
    </row>
    <row r="29" spans="1:5">
      <c r="A29" s="24" t="s">
        <v>154</v>
      </c>
      <c r="B29" s="15" t="s">
        <v>183</v>
      </c>
      <c r="C29" s="15" t="s">
        <v>172</v>
      </c>
      <c r="D29" s="15" t="s">
        <v>191</v>
      </c>
      <c r="E29" s="15" t="s">
        <v>192</v>
      </c>
    </row>
    <row r="30" spans="1:5">
      <c r="A30" s="24" t="s">
        <v>154</v>
      </c>
      <c r="B30" s="15" t="s">
        <v>183</v>
      </c>
      <c r="C30" s="15" t="s">
        <v>173</v>
      </c>
      <c r="D30" s="15" t="s">
        <v>191</v>
      </c>
      <c r="E30" s="15" t="s">
        <v>193</v>
      </c>
    </row>
    <row r="31" spans="1:5">
      <c r="A31" s="24" t="s">
        <v>154</v>
      </c>
      <c r="B31" s="15" t="s">
        <v>183</v>
      </c>
      <c r="C31" s="15" t="s">
        <v>175</v>
      </c>
      <c r="D31" s="15" t="s">
        <v>194</v>
      </c>
      <c r="E31" s="15" t="s">
        <v>158</v>
      </c>
    </row>
    <row r="32" spans="1:5">
      <c r="A32" s="24" t="s">
        <v>154</v>
      </c>
      <c r="B32" s="15" t="s">
        <v>183</v>
      </c>
      <c r="C32" s="15" t="s">
        <v>178</v>
      </c>
      <c r="D32" s="15" t="s">
        <v>194</v>
      </c>
      <c r="E32" s="15" t="s">
        <v>195</v>
      </c>
    </row>
    <row r="33" spans="1:5">
      <c r="A33" s="24" t="s">
        <v>154</v>
      </c>
      <c r="B33" s="15" t="s">
        <v>183</v>
      </c>
      <c r="C33" s="15" t="s">
        <v>180</v>
      </c>
      <c r="D33" s="15" t="s">
        <v>194</v>
      </c>
      <c r="E33" s="15" t="s">
        <v>196</v>
      </c>
    </row>
    <row r="34" spans="1:5">
      <c r="A34" s="24" t="s">
        <v>154</v>
      </c>
      <c r="B34" s="15" t="s">
        <v>185</v>
      </c>
      <c r="C34" s="15" t="s">
        <v>155</v>
      </c>
      <c r="D34" s="15" t="s">
        <v>194</v>
      </c>
      <c r="E34" s="15" t="s">
        <v>162</v>
      </c>
    </row>
    <row r="35" spans="1:5">
      <c r="A35" s="24" t="s">
        <v>154</v>
      </c>
      <c r="B35" s="15" t="s">
        <v>185</v>
      </c>
      <c r="C35" s="15" t="s">
        <v>183</v>
      </c>
      <c r="D35" s="15" t="s">
        <v>194</v>
      </c>
      <c r="E35" s="15" t="s">
        <v>164</v>
      </c>
    </row>
    <row r="36" spans="1:5">
      <c r="A36" s="24" t="s">
        <v>154</v>
      </c>
      <c r="B36" s="15" t="s">
        <v>185</v>
      </c>
      <c r="C36" s="15" t="s">
        <v>185</v>
      </c>
      <c r="D36" s="15" t="s">
        <v>197</v>
      </c>
      <c r="E36" s="15" t="s">
        <v>158</v>
      </c>
    </row>
    <row r="37" spans="1:5">
      <c r="A37" s="24" t="s">
        <v>154</v>
      </c>
      <c r="B37" s="15" t="s">
        <v>185</v>
      </c>
      <c r="C37" s="15" t="s">
        <v>156</v>
      </c>
      <c r="D37" s="15" t="s">
        <v>197</v>
      </c>
      <c r="E37" s="15" t="s">
        <v>177</v>
      </c>
    </row>
    <row r="38" spans="1:5">
      <c r="A38" s="24" t="s">
        <v>154</v>
      </c>
      <c r="B38" s="15" t="s">
        <v>185</v>
      </c>
      <c r="C38" s="15" t="s">
        <v>159</v>
      </c>
      <c r="D38" s="15" t="s">
        <v>197</v>
      </c>
      <c r="E38" s="15" t="s">
        <v>179</v>
      </c>
    </row>
    <row r="39" spans="1:5">
      <c r="A39" s="24" t="s">
        <v>154</v>
      </c>
      <c r="B39" s="15" t="s">
        <v>185</v>
      </c>
      <c r="C39" s="15" t="s">
        <v>161</v>
      </c>
      <c r="D39" s="15" t="s">
        <v>197</v>
      </c>
      <c r="E39" s="15" t="s">
        <v>162</v>
      </c>
    </row>
    <row r="40" spans="1:5">
      <c r="A40" s="24" t="s">
        <v>154</v>
      </c>
      <c r="B40" s="15" t="s">
        <v>185</v>
      </c>
      <c r="C40" s="15" t="s">
        <v>163</v>
      </c>
      <c r="D40" s="15" t="s">
        <v>197</v>
      </c>
      <c r="E40" s="15" t="s">
        <v>164</v>
      </c>
    </row>
    <row r="41" spans="1:5">
      <c r="A41" s="24" t="s">
        <v>154</v>
      </c>
      <c r="B41" s="15" t="s">
        <v>185</v>
      </c>
      <c r="C41" s="15" t="s">
        <v>165</v>
      </c>
      <c r="D41" s="15" t="s">
        <v>197</v>
      </c>
      <c r="E41" s="15" t="s">
        <v>198</v>
      </c>
    </row>
    <row r="42" spans="1:5">
      <c r="A42" s="24" t="s">
        <v>154</v>
      </c>
      <c r="B42" s="15" t="s">
        <v>185</v>
      </c>
      <c r="C42" s="15" t="s">
        <v>167</v>
      </c>
      <c r="D42" s="15" t="s">
        <v>199</v>
      </c>
      <c r="E42" s="15" t="s">
        <v>158</v>
      </c>
    </row>
    <row r="43" spans="1:5">
      <c r="A43" s="24" t="s">
        <v>154</v>
      </c>
      <c r="B43" s="15" t="s">
        <v>185</v>
      </c>
      <c r="C43" s="15" t="s">
        <v>169</v>
      </c>
      <c r="D43" s="15" t="s">
        <v>200</v>
      </c>
      <c r="E43" s="15" t="s">
        <v>201</v>
      </c>
    </row>
    <row r="44" spans="1:5">
      <c r="A44" s="24" t="s">
        <v>154</v>
      </c>
      <c r="B44" s="15" t="s">
        <v>185</v>
      </c>
      <c r="C44" s="15" t="s">
        <v>171</v>
      </c>
      <c r="D44" s="15" t="s">
        <v>199</v>
      </c>
      <c r="E44" s="15" t="s">
        <v>162</v>
      </c>
    </row>
    <row r="45" spans="1:5">
      <c r="A45" s="24" t="s">
        <v>154</v>
      </c>
      <c r="B45" s="15" t="s">
        <v>185</v>
      </c>
      <c r="C45" s="15" t="s">
        <v>172</v>
      </c>
      <c r="D45" s="15" t="s">
        <v>199</v>
      </c>
      <c r="E45" s="15" t="s">
        <v>164</v>
      </c>
    </row>
    <row r="46" spans="1:5">
      <c r="A46" s="24" t="s">
        <v>154</v>
      </c>
      <c r="B46" s="15" t="s">
        <v>156</v>
      </c>
      <c r="C46" s="15" t="s">
        <v>155</v>
      </c>
      <c r="D46" s="15" t="s">
        <v>202</v>
      </c>
      <c r="E46" s="15" t="s">
        <v>158</v>
      </c>
    </row>
    <row r="47" spans="1:5">
      <c r="A47" s="24" t="s">
        <v>154</v>
      </c>
      <c r="B47" s="15" t="s">
        <v>156</v>
      </c>
      <c r="C47" s="15" t="s">
        <v>183</v>
      </c>
      <c r="D47" s="15" t="s">
        <v>202</v>
      </c>
      <c r="E47" s="15" t="s">
        <v>203</v>
      </c>
    </row>
    <row r="48" spans="1:5">
      <c r="A48" s="24" t="s">
        <v>154</v>
      </c>
      <c r="B48" s="15" t="s">
        <v>156</v>
      </c>
      <c r="C48" s="15" t="s">
        <v>185</v>
      </c>
      <c r="D48" s="15" t="s">
        <v>202</v>
      </c>
      <c r="E48" s="15" t="s">
        <v>162</v>
      </c>
    </row>
    <row r="49" spans="1:5">
      <c r="A49" s="24" t="s">
        <v>154</v>
      </c>
      <c r="B49" s="15" t="s">
        <v>156</v>
      </c>
      <c r="C49" s="15" t="s">
        <v>156</v>
      </c>
      <c r="D49" s="15" t="s">
        <v>202</v>
      </c>
      <c r="E49" s="15" t="s">
        <v>164</v>
      </c>
    </row>
    <row r="50" spans="1:5">
      <c r="A50" s="24" t="s">
        <v>154</v>
      </c>
      <c r="B50" s="15" t="s">
        <v>156</v>
      </c>
      <c r="C50" s="15" t="s">
        <v>159</v>
      </c>
      <c r="D50" s="15" t="s">
        <v>202</v>
      </c>
      <c r="E50" s="15" t="s">
        <v>204</v>
      </c>
    </row>
    <row r="51" spans="1:5">
      <c r="A51" s="24" t="s">
        <v>154</v>
      </c>
      <c r="B51" s="15" t="s">
        <v>156</v>
      </c>
      <c r="C51" s="15" t="s">
        <v>161</v>
      </c>
      <c r="D51" s="15" t="s">
        <v>202</v>
      </c>
      <c r="E51" s="15" t="s">
        <v>205</v>
      </c>
    </row>
    <row r="52" spans="1:5">
      <c r="A52" s="24" t="s">
        <v>154</v>
      </c>
      <c r="B52" s="15" t="s">
        <v>156</v>
      </c>
      <c r="C52" s="15" t="s">
        <v>163</v>
      </c>
      <c r="D52" s="15" t="s">
        <v>202</v>
      </c>
      <c r="E52" s="15" t="s">
        <v>206</v>
      </c>
    </row>
    <row r="53" spans="1:5">
      <c r="A53" s="24" t="s">
        <v>154</v>
      </c>
      <c r="B53" s="15" t="s">
        <v>156</v>
      </c>
      <c r="C53" s="15" t="s">
        <v>165</v>
      </c>
      <c r="D53" s="15" t="s">
        <v>207</v>
      </c>
      <c r="E53" s="15" t="s">
        <v>208</v>
      </c>
    </row>
    <row r="54" spans="1:5">
      <c r="A54" s="24" t="s">
        <v>154</v>
      </c>
      <c r="B54" s="15" t="s">
        <v>156</v>
      </c>
      <c r="C54" s="15" t="s">
        <v>167</v>
      </c>
      <c r="D54" s="15" t="s">
        <v>209</v>
      </c>
      <c r="E54" s="15" t="s">
        <v>158</v>
      </c>
    </row>
    <row r="55" spans="1:5">
      <c r="A55" s="24" t="s">
        <v>154</v>
      </c>
      <c r="B55" s="15" t="s">
        <v>156</v>
      </c>
      <c r="C55" s="15" t="s">
        <v>169</v>
      </c>
      <c r="D55" s="15" t="s">
        <v>209</v>
      </c>
      <c r="E55" s="15" t="s">
        <v>162</v>
      </c>
    </row>
    <row r="56" spans="1:5">
      <c r="A56" s="24" t="s">
        <v>154</v>
      </c>
      <c r="B56" s="15" t="s">
        <v>156</v>
      </c>
      <c r="C56" s="15" t="s">
        <v>171</v>
      </c>
      <c r="D56" s="15" t="s">
        <v>209</v>
      </c>
      <c r="E56" s="15" t="s">
        <v>164</v>
      </c>
    </row>
    <row r="57" spans="1:5">
      <c r="A57" s="24" t="s">
        <v>154</v>
      </c>
      <c r="B57" s="15" t="s">
        <v>156</v>
      </c>
      <c r="C57" s="15" t="s">
        <v>172</v>
      </c>
      <c r="D57" s="15" t="s">
        <v>209</v>
      </c>
      <c r="E57" s="15" t="s">
        <v>210</v>
      </c>
    </row>
    <row r="58" spans="1:5">
      <c r="A58" s="24" t="s">
        <v>154</v>
      </c>
      <c r="B58" s="15" t="s">
        <v>156</v>
      </c>
      <c r="C58" s="15" t="s">
        <v>173</v>
      </c>
      <c r="D58" s="15" t="s">
        <v>209</v>
      </c>
      <c r="E58" s="15" t="s">
        <v>211</v>
      </c>
    </row>
    <row r="59" spans="1:5">
      <c r="A59" s="24" t="s">
        <v>154</v>
      </c>
      <c r="B59" s="15" t="s">
        <v>156</v>
      </c>
      <c r="C59" s="15" t="s">
        <v>175</v>
      </c>
      <c r="D59" s="15" t="s">
        <v>209</v>
      </c>
      <c r="E59" s="15" t="s">
        <v>189</v>
      </c>
    </row>
    <row r="60" spans="1:5">
      <c r="A60" s="24" t="s">
        <v>154</v>
      </c>
      <c r="B60" s="15" t="s">
        <v>156</v>
      </c>
      <c r="C60" s="15" t="s">
        <v>178</v>
      </c>
      <c r="D60" s="15" t="s">
        <v>212</v>
      </c>
      <c r="E60" s="15" t="s">
        <v>177</v>
      </c>
    </row>
    <row r="61" spans="1:5">
      <c r="A61" s="24" t="s">
        <v>154</v>
      </c>
      <c r="B61" s="15" t="s">
        <v>159</v>
      </c>
      <c r="C61" s="15" t="s">
        <v>155</v>
      </c>
      <c r="D61" s="15" t="s">
        <v>213</v>
      </c>
      <c r="E61" s="15" t="s">
        <v>158</v>
      </c>
    </row>
    <row r="62" spans="1:5">
      <c r="A62" s="24" t="s">
        <v>154</v>
      </c>
      <c r="B62" s="15" t="s">
        <v>159</v>
      </c>
      <c r="C62" s="15" t="s">
        <v>183</v>
      </c>
      <c r="D62" s="15" t="s">
        <v>213</v>
      </c>
      <c r="E62" s="15" t="s">
        <v>162</v>
      </c>
    </row>
    <row r="63" spans="1:5">
      <c r="A63" s="24" t="s">
        <v>154</v>
      </c>
      <c r="B63" s="15" t="s">
        <v>159</v>
      </c>
      <c r="C63" s="15" t="s">
        <v>185</v>
      </c>
      <c r="D63" s="15" t="s">
        <v>213</v>
      </c>
      <c r="E63" s="15" t="s">
        <v>164</v>
      </c>
    </row>
    <row r="64" spans="1:5">
      <c r="A64" s="24" t="s">
        <v>154</v>
      </c>
      <c r="B64" s="15" t="s">
        <v>159</v>
      </c>
      <c r="C64" s="15" t="s">
        <v>156</v>
      </c>
      <c r="D64" s="15" t="s">
        <v>214</v>
      </c>
      <c r="E64" s="15" t="s">
        <v>215</v>
      </c>
    </row>
    <row r="65" spans="1:5">
      <c r="A65" s="24" t="s">
        <v>154</v>
      </c>
      <c r="B65" s="15" t="s">
        <v>159</v>
      </c>
      <c r="C65" s="15" t="s">
        <v>159</v>
      </c>
      <c r="D65" s="15" t="s">
        <v>216</v>
      </c>
      <c r="E65" s="15" t="s">
        <v>158</v>
      </c>
    </row>
    <row r="66" spans="1:5">
      <c r="A66" s="24" t="s">
        <v>154</v>
      </c>
      <c r="B66" s="15" t="s">
        <v>159</v>
      </c>
      <c r="C66" s="15" t="s">
        <v>161</v>
      </c>
      <c r="D66" s="15" t="s">
        <v>216</v>
      </c>
      <c r="E66" s="15" t="s">
        <v>164</v>
      </c>
    </row>
    <row r="67" spans="1:5">
      <c r="A67" s="24" t="s">
        <v>154</v>
      </c>
      <c r="B67" s="15" t="s">
        <v>159</v>
      </c>
      <c r="C67" s="15" t="s">
        <v>163</v>
      </c>
      <c r="D67" s="15" t="s">
        <v>217</v>
      </c>
      <c r="E67" s="15" t="s">
        <v>218</v>
      </c>
    </row>
    <row r="68" spans="1:5">
      <c r="A68" s="24" t="s">
        <v>154</v>
      </c>
      <c r="B68" s="15" t="s">
        <v>159</v>
      </c>
      <c r="C68" s="15" t="s">
        <v>165</v>
      </c>
      <c r="D68" s="15" t="s">
        <v>219</v>
      </c>
      <c r="E68" s="15" t="s">
        <v>220</v>
      </c>
    </row>
    <row r="69" spans="1:5">
      <c r="A69" s="24" t="s">
        <v>154</v>
      </c>
      <c r="B69" s="15" t="s">
        <v>159</v>
      </c>
      <c r="C69" s="15" t="s">
        <v>167</v>
      </c>
      <c r="D69" s="15" t="s">
        <v>219</v>
      </c>
      <c r="E69" s="15" t="s">
        <v>221</v>
      </c>
    </row>
    <row r="70" spans="1:5">
      <c r="A70" s="24" t="s">
        <v>154</v>
      </c>
      <c r="B70" s="15" t="s">
        <v>159</v>
      </c>
      <c r="C70" s="15" t="s">
        <v>169</v>
      </c>
      <c r="D70" s="15" t="s">
        <v>219</v>
      </c>
      <c r="E70" s="15" t="s">
        <v>222</v>
      </c>
    </row>
    <row r="71" spans="1:5">
      <c r="A71" s="24" t="s">
        <v>154</v>
      </c>
      <c r="B71" s="15" t="s">
        <v>159</v>
      </c>
      <c r="C71" s="15" t="s">
        <v>171</v>
      </c>
      <c r="D71" s="15" t="s">
        <v>219</v>
      </c>
      <c r="E71" s="15" t="s">
        <v>162</v>
      </c>
    </row>
    <row r="72" spans="1:5">
      <c r="A72" s="24" t="s">
        <v>154</v>
      </c>
      <c r="B72" s="15" t="s">
        <v>159</v>
      </c>
      <c r="C72" s="15" t="s">
        <v>172</v>
      </c>
      <c r="D72" s="15" t="s">
        <v>219</v>
      </c>
      <c r="E72" s="15" t="s">
        <v>164</v>
      </c>
    </row>
    <row r="73" spans="1:5">
      <c r="A73" s="24" t="s">
        <v>154</v>
      </c>
      <c r="B73" s="15" t="s">
        <v>159</v>
      </c>
      <c r="C73" s="15" t="s">
        <v>173</v>
      </c>
      <c r="D73" s="15" t="s">
        <v>219</v>
      </c>
      <c r="E73" s="15" t="s">
        <v>223</v>
      </c>
    </row>
    <row r="74" spans="1:5">
      <c r="A74" s="24" t="s">
        <v>154</v>
      </c>
      <c r="B74" s="15" t="s">
        <v>159</v>
      </c>
      <c r="C74" s="15" t="s">
        <v>175</v>
      </c>
      <c r="D74" s="15" t="s">
        <v>224</v>
      </c>
      <c r="E74" s="15" t="s">
        <v>225</v>
      </c>
    </row>
    <row r="75" spans="1:5">
      <c r="A75" s="24" t="s">
        <v>154</v>
      </c>
      <c r="B75" s="15" t="s">
        <v>159</v>
      </c>
      <c r="C75" s="15" t="s">
        <v>178</v>
      </c>
      <c r="D75" s="15" t="s">
        <v>226</v>
      </c>
      <c r="E75" s="15" t="s">
        <v>227</v>
      </c>
    </row>
    <row r="76" spans="1:5">
      <c r="A76" s="24" t="s">
        <v>154</v>
      </c>
      <c r="B76" s="15" t="s">
        <v>159</v>
      </c>
      <c r="C76" s="15" t="s">
        <v>180</v>
      </c>
      <c r="D76" s="15" t="s">
        <v>226</v>
      </c>
      <c r="E76" s="15" t="s">
        <v>222</v>
      </c>
    </row>
    <row r="77" spans="1:5">
      <c r="A77" s="24" t="s">
        <v>154</v>
      </c>
      <c r="B77" s="15" t="s">
        <v>159</v>
      </c>
      <c r="C77" s="15" t="s">
        <v>228</v>
      </c>
      <c r="D77" s="15" t="s">
        <v>226</v>
      </c>
      <c r="E77" s="15" t="s">
        <v>158</v>
      </c>
    </row>
    <row r="78" spans="1:5">
      <c r="A78" s="24" t="s">
        <v>154</v>
      </c>
      <c r="B78" s="15" t="s">
        <v>159</v>
      </c>
      <c r="C78" s="15" t="s">
        <v>229</v>
      </c>
      <c r="D78" s="15" t="s">
        <v>226</v>
      </c>
      <c r="E78" s="15" t="s">
        <v>162</v>
      </c>
    </row>
    <row r="79" spans="1:5">
      <c r="A79" s="24" t="s">
        <v>154</v>
      </c>
      <c r="B79" s="15" t="s">
        <v>159</v>
      </c>
      <c r="C79" s="15" t="s">
        <v>230</v>
      </c>
      <c r="D79" s="15" t="s">
        <v>226</v>
      </c>
      <c r="E79" s="15" t="s">
        <v>231</v>
      </c>
    </row>
    <row r="80" spans="1:5">
      <c r="A80" s="24" t="s">
        <v>154</v>
      </c>
      <c r="B80" s="15" t="s">
        <v>161</v>
      </c>
      <c r="C80" s="15" t="s">
        <v>155</v>
      </c>
      <c r="D80" s="15" t="s">
        <v>226</v>
      </c>
      <c r="E80" s="15" t="s">
        <v>164</v>
      </c>
    </row>
    <row r="81" spans="1:5">
      <c r="A81" s="24" t="s">
        <v>154</v>
      </c>
      <c r="B81" s="15" t="s">
        <v>161</v>
      </c>
      <c r="C81" s="15" t="s">
        <v>183</v>
      </c>
      <c r="D81" s="15" t="s">
        <v>226</v>
      </c>
      <c r="E81" s="15" t="s">
        <v>211</v>
      </c>
    </row>
    <row r="82" spans="1:5">
      <c r="A82" s="24" t="s">
        <v>154</v>
      </c>
      <c r="B82" s="15" t="s">
        <v>161</v>
      </c>
      <c r="C82" s="15" t="s">
        <v>185</v>
      </c>
      <c r="D82" s="15" t="s">
        <v>226</v>
      </c>
      <c r="E82" s="15" t="s">
        <v>232</v>
      </c>
    </row>
    <row r="83" spans="1:5">
      <c r="A83" s="24" t="s">
        <v>154</v>
      </c>
      <c r="B83" s="15" t="s">
        <v>161</v>
      </c>
      <c r="C83" s="15" t="s">
        <v>156</v>
      </c>
      <c r="D83" s="15" t="s">
        <v>226</v>
      </c>
      <c r="E83" s="15" t="s">
        <v>223</v>
      </c>
    </row>
    <row r="84" spans="1:5">
      <c r="A84" s="24" t="s">
        <v>154</v>
      </c>
      <c r="B84" s="15" t="s">
        <v>161</v>
      </c>
      <c r="C84" s="15" t="s">
        <v>159</v>
      </c>
      <c r="D84" s="15" t="s">
        <v>233</v>
      </c>
      <c r="E84" s="15" t="s">
        <v>234</v>
      </c>
    </row>
    <row r="85" spans="1:5">
      <c r="A85" s="24" t="s">
        <v>154</v>
      </c>
      <c r="B85" s="15" t="s">
        <v>161</v>
      </c>
      <c r="C85" s="15" t="s">
        <v>161</v>
      </c>
      <c r="D85" s="15" t="s">
        <v>235</v>
      </c>
      <c r="E85" s="15" t="s">
        <v>227</v>
      </c>
    </row>
    <row r="86" spans="1:5">
      <c r="A86" s="24" t="s">
        <v>154</v>
      </c>
      <c r="B86" s="15" t="s">
        <v>161</v>
      </c>
      <c r="C86" s="15" t="s">
        <v>163</v>
      </c>
      <c r="D86" s="15" t="s">
        <v>236</v>
      </c>
      <c r="E86" s="15" t="s">
        <v>237</v>
      </c>
    </row>
    <row r="87" spans="1:5">
      <c r="A87" s="24" t="s">
        <v>154</v>
      </c>
      <c r="B87" s="15" t="s">
        <v>161</v>
      </c>
      <c r="C87" s="15" t="s">
        <v>165</v>
      </c>
      <c r="D87" s="15" t="s">
        <v>235</v>
      </c>
      <c r="E87" s="15" t="s">
        <v>222</v>
      </c>
    </row>
    <row r="88" spans="1:5">
      <c r="A88" s="24" t="s">
        <v>154</v>
      </c>
      <c r="B88" s="15" t="s">
        <v>161</v>
      </c>
      <c r="C88" s="15" t="s">
        <v>167</v>
      </c>
      <c r="D88" s="15" t="s">
        <v>235</v>
      </c>
      <c r="E88" s="15" t="s">
        <v>158</v>
      </c>
    </row>
    <row r="89" spans="1:5">
      <c r="A89" s="24" t="s">
        <v>154</v>
      </c>
      <c r="B89" s="15" t="s">
        <v>161</v>
      </c>
      <c r="C89" s="15" t="s">
        <v>169</v>
      </c>
      <c r="D89" s="15" t="s">
        <v>235</v>
      </c>
      <c r="E89" s="15" t="s">
        <v>162</v>
      </c>
    </row>
    <row r="90" spans="1:5">
      <c r="A90" s="24" t="s">
        <v>154</v>
      </c>
      <c r="B90" s="15" t="s">
        <v>161</v>
      </c>
      <c r="C90" s="15" t="s">
        <v>171</v>
      </c>
      <c r="D90" s="15" t="s">
        <v>235</v>
      </c>
      <c r="E90" s="15" t="s">
        <v>164</v>
      </c>
    </row>
    <row r="91" spans="1:5">
      <c r="A91" s="24" t="s">
        <v>154</v>
      </c>
      <c r="B91" s="15" t="s">
        <v>161</v>
      </c>
      <c r="C91" s="15" t="s">
        <v>172</v>
      </c>
      <c r="D91" s="15" t="s">
        <v>238</v>
      </c>
      <c r="E91" s="15" t="s">
        <v>222</v>
      </c>
    </row>
    <row r="92" spans="1:5">
      <c r="A92" s="24" t="s">
        <v>154</v>
      </c>
      <c r="B92" s="15" t="s">
        <v>161</v>
      </c>
      <c r="C92" s="15" t="s">
        <v>173</v>
      </c>
      <c r="D92" s="15" t="s">
        <v>238</v>
      </c>
      <c r="E92" s="15" t="s">
        <v>162</v>
      </c>
    </row>
    <row r="93" spans="1:5">
      <c r="A93" s="24" t="s">
        <v>154</v>
      </c>
      <c r="B93" s="15" t="s">
        <v>161</v>
      </c>
      <c r="C93" s="15" t="s">
        <v>175</v>
      </c>
      <c r="D93" s="15" t="s">
        <v>238</v>
      </c>
      <c r="E93" s="15" t="s">
        <v>164</v>
      </c>
    </row>
    <row r="94" spans="1:5">
      <c r="A94" s="24" t="s">
        <v>154</v>
      </c>
      <c r="B94" s="15" t="s">
        <v>161</v>
      </c>
      <c r="C94" s="15" t="s">
        <v>178</v>
      </c>
      <c r="D94" s="15" t="s">
        <v>238</v>
      </c>
      <c r="E94" s="15" t="s">
        <v>223</v>
      </c>
    </row>
    <row r="95" spans="1:5">
      <c r="A95" s="24" t="s">
        <v>154</v>
      </c>
      <c r="B95" s="15" t="s">
        <v>161</v>
      </c>
      <c r="C95" s="15" t="s">
        <v>180</v>
      </c>
      <c r="D95" s="15" t="s">
        <v>239</v>
      </c>
      <c r="E95" s="15" t="s">
        <v>222</v>
      </c>
    </row>
    <row r="96" spans="1:5">
      <c r="A96" s="24" t="s">
        <v>154</v>
      </c>
      <c r="B96" s="15" t="s">
        <v>161</v>
      </c>
      <c r="C96" s="15" t="s">
        <v>228</v>
      </c>
      <c r="D96" s="15" t="s">
        <v>239</v>
      </c>
      <c r="E96" s="15" t="s">
        <v>162</v>
      </c>
    </row>
    <row r="97" spans="1:5">
      <c r="A97" s="24" t="s">
        <v>154</v>
      </c>
      <c r="B97" s="15" t="s">
        <v>161</v>
      </c>
      <c r="C97" s="15" t="s">
        <v>229</v>
      </c>
      <c r="D97" s="15" t="s">
        <v>239</v>
      </c>
      <c r="E97" s="15" t="s">
        <v>164</v>
      </c>
    </row>
    <row r="98" spans="1:5">
      <c r="A98" s="24" t="s">
        <v>154</v>
      </c>
      <c r="B98" s="15" t="s">
        <v>161</v>
      </c>
      <c r="C98" s="15" t="s">
        <v>230</v>
      </c>
      <c r="D98" s="15" t="s">
        <v>240</v>
      </c>
      <c r="E98" s="15" t="s">
        <v>222</v>
      </c>
    </row>
    <row r="99" spans="1:5">
      <c r="A99" s="24" t="s">
        <v>154</v>
      </c>
      <c r="B99" s="15" t="s">
        <v>161</v>
      </c>
      <c r="C99" s="15" t="s">
        <v>241</v>
      </c>
      <c r="D99" s="15" t="s">
        <v>240</v>
      </c>
      <c r="E99" s="15" t="s">
        <v>162</v>
      </c>
    </row>
    <row r="100" spans="1:5">
      <c r="A100" s="24" t="s">
        <v>154</v>
      </c>
      <c r="B100" s="15" t="s">
        <v>163</v>
      </c>
      <c r="C100" s="15" t="s">
        <v>155</v>
      </c>
      <c r="D100" s="15" t="s">
        <v>240</v>
      </c>
      <c r="E100" s="15" t="s">
        <v>164</v>
      </c>
    </row>
    <row r="101" spans="1:5">
      <c r="A101" s="24" t="s">
        <v>154</v>
      </c>
      <c r="B101" s="15" t="s">
        <v>163</v>
      </c>
      <c r="C101" s="15" t="s">
        <v>183</v>
      </c>
      <c r="D101" s="15" t="s">
        <v>240</v>
      </c>
      <c r="E101" s="15" t="s">
        <v>242</v>
      </c>
    </row>
    <row r="102" spans="1:5">
      <c r="A102" s="24" t="s">
        <v>154</v>
      </c>
      <c r="B102" s="15" t="s">
        <v>163</v>
      </c>
      <c r="C102" s="15" t="s">
        <v>185</v>
      </c>
      <c r="D102" s="15" t="s">
        <v>243</v>
      </c>
      <c r="E102" s="15" t="s">
        <v>237</v>
      </c>
    </row>
    <row r="103" spans="1:5">
      <c r="A103" s="24" t="s">
        <v>154</v>
      </c>
      <c r="B103" s="15" t="s">
        <v>163</v>
      </c>
      <c r="C103" s="15" t="s">
        <v>156</v>
      </c>
      <c r="D103" s="15" t="s">
        <v>243</v>
      </c>
      <c r="E103" s="15" t="s">
        <v>164</v>
      </c>
    </row>
    <row r="104" spans="1:5">
      <c r="A104" s="24" t="s">
        <v>154</v>
      </c>
      <c r="B104" s="15" t="s">
        <v>163</v>
      </c>
      <c r="C104" s="15" t="s">
        <v>159</v>
      </c>
      <c r="D104" s="15" t="s">
        <v>244</v>
      </c>
      <c r="E104" s="15" t="s">
        <v>245</v>
      </c>
    </row>
    <row r="105" spans="1:5">
      <c r="A105" s="24" t="s">
        <v>154</v>
      </c>
      <c r="B105" s="15" t="s">
        <v>163</v>
      </c>
      <c r="C105" s="15" t="s">
        <v>161</v>
      </c>
      <c r="D105" s="15" t="s">
        <v>246</v>
      </c>
      <c r="E105" s="15" t="s">
        <v>164</v>
      </c>
    </row>
    <row r="106" spans="1:5">
      <c r="A106" s="24" t="s">
        <v>154</v>
      </c>
      <c r="B106" s="15" t="s">
        <v>163</v>
      </c>
      <c r="C106" s="15" t="s">
        <v>163</v>
      </c>
      <c r="D106" s="15" t="s">
        <v>247</v>
      </c>
      <c r="E106" s="15" t="s">
        <v>248</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D8B4E-7F08-404D-B7B8-75236CFF5A3C}">
  <dimension ref="A1:E116"/>
  <sheetViews>
    <sheetView tabSelected="1" topLeftCell="A103" workbookViewId="0">
      <selection activeCell="E110" sqref="E110"/>
    </sheetView>
  </sheetViews>
  <sheetFormatPr defaultColWidth="0" defaultRowHeight="15"/>
  <cols>
    <col min="1" max="1" width="49.5703125" style="14" customWidth="1"/>
    <col min="2" max="3" width="9.140625" style="14" customWidth="1"/>
    <col min="4" max="4" width="29.7109375" style="14" customWidth="1"/>
    <col min="5" max="5" width="74.28515625" style="14" customWidth="1"/>
    <col min="6" max="16384" width="0" style="14" hidden="1"/>
  </cols>
  <sheetData>
    <row r="1" spans="1:5">
      <c r="A1" s="13" t="s">
        <v>145</v>
      </c>
      <c r="B1" s="13" t="s">
        <v>146</v>
      </c>
      <c r="C1" s="13" t="s">
        <v>147</v>
      </c>
      <c r="D1" s="13" t="s">
        <v>148</v>
      </c>
      <c r="E1" s="13" t="s">
        <v>51</v>
      </c>
    </row>
    <row r="2" spans="1:5">
      <c r="A2" s="24" t="s">
        <v>249</v>
      </c>
      <c r="B2" s="15" t="s">
        <v>155</v>
      </c>
      <c r="C2" s="15" t="s">
        <v>155</v>
      </c>
      <c r="D2" s="15" t="s">
        <v>250</v>
      </c>
      <c r="E2" s="15" t="s">
        <v>251</v>
      </c>
    </row>
    <row r="3" spans="1:5">
      <c r="A3" s="24" t="s">
        <v>249</v>
      </c>
      <c r="B3" s="15" t="s">
        <v>155</v>
      </c>
      <c r="C3" s="15" t="s">
        <v>183</v>
      </c>
      <c r="D3" s="15" t="s">
        <v>250</v>
      </c>
      <c r="E3" s="15" t="s">
        <v>162</v>
      </c>
    </row>
    <row r="4" spans="1:5">
      <c r="A4" s="24" t="s">
        <v>249</v>
      </c>
      <c r="B4" s="15" t="s">
        <v>155</v>
      </c>
      <c r="C4" s="15" t="s">
        <v>185</v>
      </c>
      <c r="D4" s="15" t="s">
        <v>250</v>
      </c>
      <c r="E4" s="15" t="s">
        <v>252</v>
      </c>
    </row>
    <row r="5" spans="1:5">
      <c r="A5" s="24" t="s">
        <v>249</v>
      </c>
      <c r="B5" s="15" t="s">
        <v>155</v>
      </c>
      <c r="C5" s="15" t="s">
        <v>156</v>
      </c>
      <c r="D5" s="15" t="s">
        <v>253</v>
      </c>
      <c r="E5" s="15" t="s">
        <v>254</v>
      </c>
    </row>
    <row r="6" spans="1:5">
      <c r="A6" s="24" t="s">
        <v>249</v>
      </c>
      <c r="B6" s="15" t="s">
        <v>155</v>
      </c>
      <c r="C6" s="15" t="s">
        <v>159</v>
      </c>
      <c r="D6" s="15" t="s">
        <v>255</v>
      </c>
      <c r="E6" s="15" t="s">
        <v>254</v>
      </c>
    </row>
    <row r="7" spans="1:5">
      <c r="A7" s="24" t="s">
        <v>249</v>
      </c>
      <c r="B7" s="15" t="s">
        <v>155</v>
      </c>
      <c r="C7" s="15" t="s">
        <v>161</v>
      </c>
      <c r="D7" s="15" t="s">
        <v>256</v>
      </c>
      <c r="E7" s="15" t="s">
        <v>254</v>
      </c>
    </row>
    <row r="8" spans="1:5">
      <c r="A8" s="24" t="s">
        <v>249</v>
      </c>
      <c r="B8" s="15" t="s">
        <v>155</v>
      </c>
      <c r="C8" s="15" t="s">
        <v>163</v>
      </c>
      <c r="D8" s="15" t="s">
        <v>257</v>
      </c>
      <c r="E8" s="15" t="s">
        <v>254</v>
      </c>
    </row>
    <row r="9" spans="1:5">
      <c r="A9" s="24" t="s">
        <v>249</v>
      </c>
      <c r="B9" s="15" t="s">
        <v>155</v>
      </c>
      <c r="C9" s="15" t="s">
        <v>165</v>
      </c>
      <c r="D9" s="15" t="s">
        <v>258</v>
      </c>
      <c r="E9" s="15" t="s">
        <v>254</v>
      </c>
    </row>
    <row r="10" spans="1:5">
      <c r="A10" s="24" t="s">
        <v>249</v>
      </c>
      <c r="B10" s="15" t="s">
        <v>155</v>
      </c>
      <c r="C10" s="15" t="s">
        <v>167</v>
      </c>
      <c r="D10" s="15" t="s">
        <v>250</v>
      </c>
      <c r="E10" s="15" t="s">
        <v>259</v>
      </c>
    </row>
    <row r="11" spans="1:5">
      <c r="A11" s="24" t="s">
        <v>249</v>
      </c>
      <c r="B11" s="15" t="s">
        <v>155</v>
      </c>
      <c r="C11" s="15" t="s">
        <v>169</v>
      </c>
      <c r="D11" s="15" t="s">
        <v>260</v>
      </c>
      <c r="E11" s="15" t="s">
        <v>261</v>
      </c>
    </row>
    <row r="12" spans="1:5">
      <c r="A12" s="24" t="s">
        <v>249</v>
      </c>
      <c r="B12" s="15" t="s">
        <v>155</v>
      </c>
      <c r="C12" s="15" t="s">
        <v>171</v>
      </c>
      <c r="D12" s="15" t="s">
        <v>262</v>
      </c>
      <c r="E12" s="15" t="s">
        <v>263</v>
      </c>
    </row>
    <row r="13" spans="1:5">
      <c r="A13" s="24" t="s">
        <v>249</v>
      </c>
      <c r="B13" s="15" t="s">
        <v>155</v>
      </c>
      <c r="C13" s="15" t="s">
        <v>172</v>
      </c>
      <c r="D13" s="15" t="s">
        <v>264</v>
      </c>
      <c r="E13" s="15" t="s">
        <v>265</v>
      </c>
    </row>
    <row r="14" spans="1:5">
      <c r="A14" s="24" t="s">
        <v>249</v>
      </c>
      <c r="B14" s="15" t="s">
        <v>155</v>
      </c>
      <c r="C14" s="15" t="s">
        <v>173</v>
      </c>
      <c r="D14" s="15" t="s">
        <v>266</v>
      </c>
      <c r="E14" s="15" t="s">
        <v>267</v>
      </c>
    </row>
    <row r="15" spans="1:5">
      <c r="A15" s="24" t="s">
        <v>249</v>
      </c>
      <c r="B15" s="15" t="s">
        <v>155</v>
      </c>
      <c r="C15" s="15" t="s">
        <v>175</v>
      </c>
      <c r="D15" s="15" t="s">
        <v>268</v>
      </c>
      <c r="E15" s="15" t="s">
        <v>269</v>
      </c>
    </row>
    <row r="16" spans="1:5">
      <c r="A16" s="24" t="s">
        <v>249</v>
      </c>
      <c r="B16" s="15" t="s">
        <v>155</v>
      </c>
      <c r="C16" s="15" t="s">
        <v>178</v>
      </c>
      <c r="D16" s="15" t="s">
        <v>270</v>
      </c>
      <c r="E16" s="15" t="s">
        <v>271</v>
      </c>
    </row>
    <row r="17" spans="1:5">
      <c r="A17" s="24" t="s">
        <v>249</v>
      </c>
      <c r="B17" s="15" t="s">
        <v>155</v>
      </c>
      <c r="C17" s="15" t="s">
        <v>180</v>
      </c>
      <c r="D17" s="15" t="s">
        <v>272</v>
      </c>
      <c r="E17" s="15" t="s">
        <v>273</v>
      </c>
    </row>
    <row r="18" spans="1:5">
      <c r="A18" s="24" t="s">
        <v>249</v>
      </c>
      <c r="B18" s="15" t="s">
        <v>183</v>
      </c>
      <c r="C18" s="15" t="s">
        <v>155</v>
      </c>
      <c r="D18" s="15" t="s">
        <v>274</v>
      </c>
      <c r="E18" s="15" t="s">
        <v>275</v>
      </c>
    </row>
    <row r="19" spans="1:5" ht="15" customHeight="1">
      <c r="A19" s="24" t="s">
        <v>249</v>
      </c>
      <c r="B19" s="15" t="s">
        <v>183</v>
      </c>
      <c r="C19" s="15" t="s">
        <v>183</v>
      </c>
      <c r="D19" s="15" t="s">
        <v>276</v>
      </c>
      <c r="E19" s="15" t="s">
        <v>277</v>
      </c>
    </row>
    <row r="20" spans="1:5">
      <c r="A20" s="24" t="s">
        <v>249</v>
      </c>
      <c r="B20" s="15" t="s">
        <v>183</v>
      </c>
      <c r="C20" s="15" t="s">
        <v>185</v>
      </c>
      <c r="D20" s="15" t="s">
        <v>278</v>
      </c>
      <c r="E20" s="15" t="s">
        <v>279</v>
      </c>
    </row>
    <row r="21" spans="1:5">
      <c r="A21" s="24" t="s">
        <v>249</v>
      </c>
      <c r="B21" s="15" t="s">
        <v>183</v>
      </c>
      <c r="C21" s="15" t="s">
        <v>156</v>
      </c>
      <c r="D21" s="15" t="s">
        <v>280</v>
      </c>
      <c r="E21" s="15" t="s">
        <v>281</v>
      </c>
    </row>
    <row r="22" spans="1:5">
      <c r="A22" s="24" t="s">
        <v>249</v>
      </c>
      <c r="B22" s="15" t="s">
        <v>183</v>
      </c>
      <c r="C22" s="15" t="s">
        <v>159</v>
      </c>
      <c r="D22" s="15" t="s">
        <v>282</v>
      </c>
      <c r="E22" s="15" t="s">
        <v>283</v>
      </c>
    </row>
    <row r="23" spans="1:5">
      <c r="A23" s="24" t="s">
        <v>249</v>
      </c>
      <c r="B23" s="15" t="s">
        <v>183</v>
      </c>
      <c r="C23" s="15" t="s">
        <v>161</v>
      </c>
      <c r="D23" s="15" t="s">
        <v>284</v>
      </c>
      <c r="E23" s="15" t="s">
        <v>285</v>
      </c>
    </row>
    <row r="24" spans="1:5">
      <c r="A24" s="24" t="s">
        <v>249</v>
      </c>
      <c r="B24" s="15" t="s">
        <v>183</v>
      </c>
      <c r="C24" s="15" t="s">
        <v>163</v>
      </c>
      <c r="D24" s="15" t="s">
        <v>286</v>
      </c>
      <c r="E24" s="15" t="s">
        <v>287</v>
      </c>
    </row>
    <row r="25" spans="1:5" ht="15" customHeight="1">
      <c r="A25" s="24" t="s">
        <v>249</v>
      </c>
      <c r="B25" s="15" t="s">
        <v>183</v>
      </c>
      <c r="C25" s="15" t="s">
        <v>165</v>
      </c>
      <c r="D25" s="15" t="s">
        <v>288</v>
      </c>
      <c r="E25" s="15" t="s">
        <v>289</v>
      </c>
    </row>
    <row r="26" spans="1:5">
      <c r="A26" s="24" t="s">
        <v>249</v>
      </c>
      <c r="B26" s="15" t="s">
        <v>183</v>
      </c>
      <c r="C26" s="15" t="s">
        <v>167</v>
      </c>
      <c r="D26" s="15" t="s">
        <v>290</v>
      </c>
      <c r="E26" s="15" t="s">
        <v>291</v>
      </c>
    </row>
    <row r="27" spans="1:5">
      <c r="A27" s="24" t="s">
        <v>249</v>
      </c>
      <c r="B27" s="15" t="s">
        <v>183</v>
      </c>
      <c r="C27" s="15" t="s">
        <v>169</v>
      </c>
      <c r="D27" s="15" t="s">
        <v>292</v>
      </c>
      <c r="E27" s="15" t="s">
        <v>293</v>
      </c>
    </row>
    <row r="28" spans="1:5">
      <c r="A28" s="24" t="s">
        <v>249</v>
      </c>
      <c r="B28" s="15" t="s">
        <v>183</v>
      </c>
      <c r="C28" s="15" t="s">
        <v>171</v>
      </c>
      <c r="D28" s="15" t="s">
        <v>250</v>
      </c>
      <c r="E28" s="15" t="s">
        <v>294</v>
      </c>
    </row>
    <row r="29" spans="1:5">
      <c r="A29" s="24" t="s">
        <v>249</v>
      </c>
      <c r="B29" s="15" t="s">
        <v>183</v>
      </c>
      <c r="C29" s="15" t="s">
        <v>172</v>
      </c>
      <c r="D29" s="15" t="s">
        <v>250</v>
      </c>
      <c r="E29" s="15" t="s">
        <v>295</v>
      </c>
    </row>
    <row r="30" spans="1:5">
      <c r="A30" s="24" t="s">
        <v>249</v>
      </c>
      <c r="B30" s="15" t="s">
        <v>183</v>
      </c>
      <c r="C30" s="15" t="s">
        <v>173</v>
      </c>
      <c r="D30" s="15" t="s">
        <v>250</v>
      </c>
      <c r="E30" s="15" t="s">
        <v>296</v>
      </c>
    </row>
    <row r="31" spans="1:5">
      <c r="A31" s="24" t="s">
        <v>249</v>
      </c>
      <c r="B31" s="15" t="s">
        <v>183</v>
      </c>
      <c r="C31" s="15" t="s">
        <v>175</v>
      </c>
      <c r="D31" s="15" t="s">
        <v>250</v>
      </c>
      <c r="E31" s="15" t="s">
        <v>297</v>
      </c>
    </row>
    <row r="32" spans="1:5">
      <c r="A32" s="24" t="s">
        <v>249</v>
      </c>
      <c r="B32" s="15" t="s">
        <v>183</v>
      </c>
      <c r="C32" s="15" t="s">
        <v>178</v>
      </c>
      <c r="D32" s="15" t="s">
        <v>250</v>
      </c>
      <c r="E32" s="15" t="s">
        <v>298</v>
      </c>
    </row>
    <row r="33" spans="1:5">
      <c r="A33" s="24" t="s">
        <v>249</v>
      </c>
      <c r="B33" s="15" t="s">
        <v>185</v>
      </c>
      <c r="C33" s="15" t="s">
        <v>155</v>
      </c>
      <c r="D33" s="15" t="s">
        <v>250</v>
      </c>
      <c r="E33" s="15" t="s">
        <v>299</v>
      </c>
    </row>
    <row r="34" spans="1:5">
      <c r="A34" s="24" t="s">
        <v>249</v>
      </c>
      <c r="B34" s="15" t="s">
        <v>185</v>
      </c>
      <c r="C34" s="15" t="s">
        <v>183</v>
      </c>
      <c r="D34" s="15" t="s">
        <v>250</v>
      </c>
      <c r="E34" s="15" t="s">
        <v>300</v>
      </c>
    </row>
    <row r="35" spans="1:5">
      <c r="A35" s="24" t="s">
        <v>249</v>
      </c>
      <c r="B35" s="15" t="s">
        <v>185</v>
      </c>
      <c r="C35" s="15" t="s">
        <v>185</v>
      </c>
      <c r="D35" s="15" t="s">
        <v>250</v>
      </c>
      <c r="E35" s="15" t="s">
        <v>301</v>
      </c>
    </row>
    <row r="36" spans="1:5">
      <c r="A36" s="24" t="s">
        <v>249</v>
      </c>
      <c r="B36" s="18" t="s">
        <v>302</v>
      </c>
      <c r="C36" s="15" t="s">
        <v>155</v>
      </c>
      <c r="D36" s="15" t="s">
        <v>303</v>
      </c>
      <c r="E36" s="15" t="s">
        <v>304</v>
      </c>
    </row>
    <row r="37" spans="1:5">
      <c r="A37" s="24" t="s">
        <v>249</v>
      </c>
      <c r="B37" s="18" t="s">
        <v>302</v>
      </c>
      <c r="C37" s="15" t="s">
        <v>155</v>
      </c>
      <c r="D37" s="15" t="s">
        <v>250</v>
      </c>
      <c r="E37" s="15" t="s">
        <v>305</v>
      </c>
    </row>
    <row r="38" spans="1:5">
      <c r="A38" s="24" t="s">
        <v>249</v>
      </c>
      <c r="B38" s="18" t="s">
        <v>302</v>
      </c>
      <c r="C38" s="15" t="s">
        <v>155</v>
      </c>
      <c r="D38" s="15" t="s">
        <v>303</v>
      </c>
      <c r="E38" s="15" t="s">
        <v>306</v>
      </c>
    </row>
    <row r="39" spans="1:5">
      <c r="A39" s="24" t="s">
        <v>249</v>
      </c>
      <c r="B39" s="18" t="s">
        <v>302</v>
      </c>
      <c r="C39" s="15" t="s">
        <v>155</v>
      </c>
      <c r="D39" s="15" t="s">
        <v>307</v>
      </c>
      <c r="E39" s="15" t="s">
        <v>308</v>
      </c>
    </row>
    <row r="40" spans="1:5">
      <c r="A40" s="24" t="s">
        <v>249</v>
      </c>
      <c r="B40" s="18" t="s">
        <v>302</v>
      </c>
      <c r="C40" s="15" t="s">
        <v>155</v>
      </c>
      <c r="D40" s="15" t="s">
        <v>191</v>
      </c>
      <c r="E40" s="15" t="s">
        <v>309</v>
      </c>
    </row>
    <row r="41" spans="1:5">
      <c r="A41" s="24" t="s">
        <v>249</v>
      </c>
      <c r="B41" s="15" t="s">
        <v>185</v>
      </c>
      <c r="C41" s="15" t="s">
        <v>165</v>
      </c>
      <c r="D41" s="15" t="s">
        <v>197</v>
      </c>
      <c r="E41" s="15" t="s">
        <v>198</v>
      </c>
    </row>
    <row r="42" spans="1:5">
      <c r="A42" s="24" t="s">
        <v>249</v>
      </c>
      <c r="B42" s="15" t="s">
        <v>185</v>
      </c>
      <c r="C42" s="15" t="s">
        <v>167</v>
      </c>
      <c r="D42" s="15" t="s">
        <v>199</v>
      </c>
      <c r="E42" s="15" t="s">
        <v>158</v>
      </c>
    </row>
    <row r="43" spans="1:5">
      <c r="A43" s="24" t="s">
        <v>249</v>
      </c>
      <c r="B43" s="15" t="s">
        <v>185</v>
      </c>
      <c r="C43" s="15" t="s">
        <v>169</v>
      </c>
      <c r="D43" s="15" t="s">
        <v>200</v>
      </c>
      <c r="E43" s="15" t="s">
        <v>201</v>
      </c>
    </row>
    <row r="44" spans="1:5">
      <c r="A44" s="24" t="s">
        <v>249</v>
      </c>
      <c r="B44" s="15" t="s">
        <v>185</v>
      </c>
      <c r="C44" s="15" t="s">
        <v>171</v>
      </c>
      <c r="D44" s="15" t="s">
        <v>199</v>
      </c>
      <c r="E44" s="15" t="s">
        <v>162</v>
      </c>
    </row>
    <row r="45" spans="1:5">
      <c r="A45" s="24" t="s">
        <v>249</v>
      </c>
      <c r="B45" s="15" t="s">
        <v>185</v>
      </c>
      <c r="C45" s="15" t="s">
        <v>172</v>
      </c>
      <c r="D45" s="15" t="s">
        <v>199</v>
      </c>
      <c r="E45" s="15" t="s">
        <v>164</v>
      </c>
    </row>
    <row r="46" spans="1:5">
      <c r="A46" s="24" t="s">
        <v>249</v>
      </c>
      <c r="B46" s="15" t="s">
        <v>156</v>
      </c>
      <c r="C46" s="15" t="s">
        <v>155</v>
      </c>
      <c r="D46" s="15" t="s">
        <v>202</v>
      </c>
      <c r="E46" s="15" t="s">
        <v>158</v>
      </c>
    </row>
    <row r="47" spans="1:5">
      <c r="A47" s="24" t="s">
        <v>249</v>
      </c>
      <c r="B47" s="15" t="s">
        <v>156</v>
      </c>
      <c r="C47" s="15" t="s">
        <v>183</v>
      </c>
      <c r="D47" s="15" t="s">
        <v>202</v>
      </c>
      <c r="E47" s="15" t="s">
        <v>203</v>
      </c>
    </row>
    <row r="48" spans="1:5">
      <c r="A48" s="24" t="s">
        <v>249</v>
      </c>
      <c r="B48" s="15" t="s">
        <v>156</v>
      </c>
      <c r="C48" s="15" t="s">
        <v>185</v>
      </c>
      <c r="D48" s="15" t="s">
        <v>202</v>
      </c>
      <c r="E48" s="15" t="s">
        <v>162</v>
      </c>
    </row>
    <row r="49" spans="1:5">
      <c r="A49" s="24" t="s">
        <v>249</v>
      </c>
      <c r="B49" s="15" t="s">
        <v>156</v>
      </c>
      <c r="C49" s="15" t="s">
        <v>156</v>
      </c>
      <c r="D49" s="15" t="s">
        <v>202</v>
      </c>
      <c r="E49" s="15" t="s">
        <v>164</v>
      </c>
    </row>
    <row r="50" spans="1:5">
      <c r="A50" s="24" t="s">
        <v>249</v>
      </c>
      <c r="B50" s="15" t="s">
        <v>156</v>
      </c>
      <c r="C50" s="15" t="s">
        <v>159</v>
      </c>
      <c r="D50" s="15" t="s">
        <v>202</v>
      </c>
      <c r="E50" s="15" t="s">
        <v>204</v>
      </c>
    </row>
    <row r="51" spans="1:5">
      <c r="A51" s="24" t="s">
        <v>249</v>
      </c>
      <c r="B51" s="15" t="s">
        <v>156</v>
      </c>
      <c r="C51" s="15" t="s">
        <v>161</v>
      </c>
      <c r="D51" s="15" t="s">
        <v>202</v>
      </c>
      <c r="E51" s="15" t="s">
        <v>205</v>
      </c>
    </row>
    <row r="52" spans="1:5">
      <c r="A52" s="24" t="s">
        <v>249</v>
      </c>
      <c r="B52" s="15" t="s">
        <v>156</v>
      </c>
      <c r="C52" s="15" t="s">
        <v>163</v>
      </c>
      <c r="D52" s="15" t="s">
        <v>202</v>
      </c>
      <c r="E52" s="15" t="s">
        <v>206</v>
      </c>
    </row>
    <row r="53" spans="1:5">
      <c r="A53" s="24" t="s">
        <v>249</v>
      </c>
      <c r="B53" s="15" t="s">
        <v>156</v>
      </c>
      <c r="C53" s="15" t="s">
        <v>165</v>
      </c>
      <c r="D53" s="15" t="s">
        <v>207</v>
      </c>
      <c r="E53" s="15" t="s">
        <v>208</v>
      </c>
    </row>
    <row r="54" spans="1:5">
      <c r="A54" s="24" t="s">
        <v>249</v>
      </c>
      <c r="B54" s="15" t="s">
        <v>156</v>
      </c>
      <c r="C54" s="15" t="s">
        <v>167</v>
      </c>
      <c r="D54" s="15" t="s">
        <v>209</v>
      </c>
      <c r="E54" s="15" t="s">
        <v>158</v>
      </c>
    </row>
    <row r="55" spans="1:5">
      <c r="A55" s="24" t="s">
        <v>249</v>
      </c>
      <c r="B55" s="15" t="s">
        <v>156</v>
      </c>
      <c r="C55" s="15" t="s">
        <v>169</v>
      </c>
      <c r="D55" s="15" t="s">
        <v>209</v>
      </c>
      <c r="E55" s="15" t="s">
        <v>162</v>
      </c>
    </row>
    <row r="56" spans="1:5">
      <c r="A56" s="24" t="s">
        <v>249</v>
      </c>
      <c r="B56" s="15" t="s">
        <v>156</v>
      </c>
      <c r="C56" s="15" t="s">
        <v>171</v>
      </c>
      <c r="D56" s="15" t="s">
        <v>209</v>
      </c>
      <c r="E56" s="15" t="s">
        <v>164</v>
      </c>
    </row>
    <row r="57" spans="1:5">
      <c r="A57" s="24" t="s">
        <v>249</v>
      </c>
      <c r="B57" s="15" t="s">
        <v>156</v>
      </c>
      <c r="C57" s="15" t="s">
        <v>172</v>
      </c>
      <c r="D57" s="15" t="s">
        <v>209</v>
      </c>
      <c r="E57" s="15" t="s">
        <v>210</v>
      </c>
    </row>
    <row r="58" spans="1:5">
      <c r="A58" s="24" t="s">
        <v>249</v>
      </c>
      <c r="B58" s="15" t="s">
        <v>156</v>
      </c>
      <c r="C58" s="15" t="s">
        <v>173</v>
      </c>
      <c r="D58" s="15" t="s">
        <v>209</v>
      </c>
      <c r="E58" s="15" t="s">
        <v>211</v>
      </c>
    </row>
    <row r="59" spans="1:5">
      <c r="A59" s="24" t="s">
        <v>249</v>
      </c>
      <c r="B59" s="15" t="s">
        <v>156</v>
      </c>
      <c r="C59" s="15" t="s">
        <v>175</v>
      </c>
      <c r="D59" s="15" t="s">
        <v>209</v>
      </c>
      <c r="E59" s="15" t="s">
        <v>189</v>
      </c>
    </row>
    <row r="60" spans="1:5">
      <c r="A60" s="24" t="s">
        <v>249</v>
      </c>
      <c r="B60" s="15" t="s">
        <v>156</v>
      </c>
      <c r="C60" s="15" t="s">
        <v>178</v>
      </c>
      <c r="D60" s="15" t="s">
        <v>212</v>
      </c>
      <c r="E60" s="15" t="s">
        <v>177</v>
      </c>
    </row>
    <row r="61" spans="1:5">
      <c r="A61" s="24" t="s">
        <v>249</v>
      </c>
      <c r="B61" s="15" t="s">
        <v>159</v>
      </c>
      <c r="C61" s="15" t="s">
        <v>155</v>
      </c>
      <c r="D61" s="15" t="s">
        <v>213</v>
      </c>
      <c r="E61" s="15" t="s">
        <v>158</v>
      </c>
    </row>
    <row r="62" spans="1:5">
      <c r="A62" s="24" t="s">
        <v>249</v>
      </c>
      <c r="B62" s="15" t="s">
        <v>159</v>
      </c>
      <c r="C62" s="15" t="s">
        <v>183</v>
      </c>
      <c r="D62" s="15" t="s">
        <v>213</v>
      </c>
      <c r="E62" s="15" t="s">
        <v>162</v>
      </c>
    </row>
    <row r="63" spans="1:5">
      <c r="A63" s="24" t="s">
        <v>249</v>
      </c>
      <c r="B63" s="15" t="s">
        <v>159</v>
      </c>
      <c r="C63" s="15" t="s">
        <v>185</v>
      </c>
      <c r="D63" s="15" t="s">
        <v>213</v>
      </c>
      <c r="E63" s="15" t="s">
        <v>164</v>
      </c>
    </row>
    <row r="64" spans="1:5">
      <c r="A64" s="24" t="s">
        <v>249</v>
      </c>
      <c r="B64" s="15" t="s">
        <v>159</v>
      </c>
      <c r="C64" s="15" t="s">
        <v>156</v>
      </c>
      <c r="D64" s="15" t="s">
        <v>214</v>
      </c>
      <c r="E64" s="15" t="s">
        <v>215</v>
      </c>
    </row>
    <row r="65" spans="1:5">
      <c r="A65" s="24" t="s">
        <v>249</v>
      </c>
      <c r="B65" s="15" t="s">
        <v>159</v>
      </c>
      <c r="C65" s="15" t="s">
        <v>159</v>
      </c>
      <c r="D65" s="15" t="s">
        <v>216</v>
      </c>
      <c r="E65" s="15" t="s">
        <v>158</v>
      </c>
    </row>
    <row r="66" spans="1:5">
      <c r="A66" s="24" t="s">
        <v>249</v>
      </c>
      <c r="B66" s="15" t="s">
        <v>159</v>
      </c>
      <c r="C66" s="15" t="s">
        <v>161</v>
      </c>
      <c r="D66" s="15" t="s">
        <v>216</v>
      </c>
      <c r="E66" s="15" t="s">
        <v>164</v>
      </c>
    </row>
    <row r="67" spans="1:5">
      <c r="A67" s="24" t="s">
        <v>249</v>
      </c>
      <c r="B67" s="15" t="s">
        <v>159</v>
      </c>
      <c r="C67" s="15" t="s">
        <v>163</v>
      </c>
      <c r="D67" s="15" t="s">
        <v>217</v>
      </c>
      <c r="E67" s="15" t="s">
        <v>218</v>
      </c>
    </row>
    <row r="68" spans="1:5">
      <c r="A68" s="24" t="s">
        <v>249</v>
      </c>
      <c r="B68" s="15" t="s">
        <v>159</v>
      </c>
      <c r="C68" s="15" t="s">
        <v>165</v>
      </c>
      <c r="D68" s="15" t="s">
        <v>219</v>
      </c>
      <c r="E68" s="15" t="s">
        <v>220</v>
      </c>
    </row>
    <row r="69" spans="1:5">
      <c r="A69" s="24" t="s">
        <v>249</v>
      </c>
      <c r="B69" s="15" t="s">
        <v>159</v>
      </c>
      <c r="C69" s="15" t="s">
        <v>167</v>
      </c>
      <c r="D69" s="15" t="s">
        <v>219</v>
      </c>
      <c r="E69" s="15" t="s">
        <v>221</v>
      </c>
    </row>
    <row r="70" spans="1:5">
      <c r="A70" s="24" t="s">
        <v>249</v>
      </c>
      <c r="B70" s="15" t="s">
        <v>159</v>
      </c>
      <c r="C70" s="15" t="s">
        <v>169</v>
      </c>
      <c r="D70" s="15" t="s">
        <v>219</v>
      </c>
      <c r="E70" s="15" t="s">
        <v>222</v>
      </c>
    </row>
    <row r="71" spans="1:5">
      <c r="A71" s="24" t="s">
        <v>249</v>
      </c>
      <c r="B71" s="15" t="s">
        <v>159</v>
      </c>
      <c r="C71" s="15" t="s">
        <v>171</v>
      </c>
      <c r="D71" s="15" t="s">
        <v>219</v>
      </c>
      <c r="E71" s="15" t="s">
        <v>162</v>
      </c>
    </row>
    <row r="72" spans="1:5">
      <c r="A72" s="24" t="s">
        <v>249</v>
      </c>
      <c r="B72" s="15" t="s">
        <v>159</v>
      </c>
      <c r="C72" s="15" t="s">
        <v>172</v>
      </c>
      <c r="D72" s="15" t="s">
        <v>219</v>
      </c>
      <c r="E72" s="15" t="s">
        <v>164</v>
      </c>
    </row>
    <row r="73" spans="1:5">
      <c r="A73" s="24" t="s">
        <v>249</v>
      </c>
      <c r="B73" s="15" t="s">
        <v>159</v>
      </c>
      <c r="C73" s="15" t="s">
        <v>173</v>
      </c>
      <c r="D73" s="15" t="s">
        <v>219</v>
      </c>
      <c r="E73" s="15" t="s">
        <v>223</v>
      </c>
    </row>
    <row r="74" spans="1:5">
      <c r="A74" s="24" t="s">
        <v>249</v>
      </c>
      <c r="B74" s="15" t="s">
        <v>159</v>
      </c>
      <c r="C74" s="15" t="s">
        <v>175</v>
      </c>
      <c r="D74" s="15" t="s">
        <v>224</v>
      </c>
      <c r="E74" s="15" t="s">
        <v>225</v>
      </c>
    </row>
    <row r="75" spans="1:5">
      <c r="A75" s="24" t="s">
        <v>249</v>
      </c>
      <c r="B75" s="15" t="s">
        <v>159</v>
      </c>
      <c r="C75" s="15" t="s">
        <v>178</v>
      </c>
      <c r="D75" s="15" t="s">
        <v>226</v>
      </c>
      <c r="E75" s="15" t="s">
        <v>227</v>
      </c>
    </row>
    <row r="76" spans="1:5">
      <c r="A76" s="24" t="s">
        <v>249</v>
      </c>
      <c r="B76" s="15" t="s">
        <v>159</v>
      </c>
      <c r="C76" s="15" t="s">
        <v>180</v>
      </c>
      <c r="D76" s="15" t="s">
        <v>226</v>
      </c>
      <c r="E76" s="15" t="s">
        <v>222</v>
      </c>
    </row>
    <row r="77" spans="1:5">
      <c r="A77" s="24" t="s">
        <v>249</v>
      </c>
      <c r="B77" s="15" t="s">
        <v>159</v>
      </c>
      <c r="C77" s="15" t="s">
        <v>228</v>
      </c>
      <c r="D77" s="15" t="s">
        <v>226</v>
      </c>
      <c r="E77" s="15" t="s">
        <v>158</v>
      </c>
    </row>
    <row r="78" spans="1:5">
      <c r="A78" s="24" t="s">
        <v>249</v>
      </c>
      <c r="B78" s="15" t="s">
        <v>159</v>
      </c>
      <c r="C78" s="15" t="s">
        <v>229</v>
      </c>
      <c r="D78" s="15" t="s">
        <v>226</v>
      </c>
      <c r="E78" s="15" t="s">
        <v>162</v>
      </c>
    </row>
    <row r="79" spans="1:5">
      <c r="A79" s="24" t="s">
        <v>249</v>
      </c>
      <c r="B79" s="15" t="s">
        <v>159</v>
      </c>
      <c r="C79" s="15" t="s">
        <v>230</v>
      </c>
      <c r="D79" s="15" t="s">
        <v>226</v>
      </c>
      <c r="E79" s="15" t="s">
        <v>231</v>
      </c>
    </row>
    <row r="80" spans="1:5">
      <c r="A80" s="24" t="s">
        <v>249</v>
      </c>
      <c r="B80" s="15" t="s">
        <v>161</v>
      </c>
      <c r="C80" s="15" t="s">
        <v>155</v>
      </c>
      <c r="D80" s="15" t="s">
        <v>226</v>
      </c>
      <c r="E80" s="15" t="s">
        <v>164</v>
      </c>
    </row>
    <row r="81" spans="1:5">
      <c r="A81" s="24" t="s">
        <v>249</v>
      </c>
      <c r="B81" s="15" t="s">
        <v>161</v>
      </c>
      <c r="C81" s="15" t="s">
        <v>183</v>
      </c>
      <c r="D81" s="15" t="s">
        <v>226</v>
      </c>
      <c r="E81" s="15" t="s">
        <v>211</v>
      </c>
    </row>
    <row r="82" spans="1:5">
      <c r="A82" s="24" t="s">
        <v>249</v>
      </c>
      <c r="B82" s="15" t="s">
        <v>161</v>
      </c>
      <c r="C82" s="15" t="s">
        <v>185</v>
      </c>
      <c r="D82" s="15" t="s">
        <v>226</v>
      </c>
      <c r="E82" s="15" t="s">
        <v>232</v>
      </c>
    </row>
    <row r="83" spans="1:5">
      <c r="A83" s="24" t="s">
        <v>249</v>
      </c>
      <c r="B83" s="15" t="s">
        <v>161</v>
      </c>
      <c r="C83" s="15" t="s">
        <v>156</v>
      </c>
      <c r="D83" s="15" t="s">
        <v>226</v>
      </c>
      <c r="E83" s="15" t="s">
        <v>223</v>
      </c>
    </row>
    <row r="84" spans="1:5">
      <c r="A84" s="24" t="s">
        <v>249</v>
      </c>
      <c r="B84" s="15" t="s">
        <v>161</v>
      </c>
      <c r="C84" s="15" t="s">
        <v>159</v>
      </c>
      <c r="D84" s="15" t="s">
        <v>233</v>
      </c>
      <c r="E84" s="15" t="s">
        <v>234</v>
      </c>
    </row>
    <row r="85" spans="1:5">
      <c r="A85" s="24" t="s">
        <v>249</v>
      </c>
      <c r="B85" s="15" t="s">
        <v>161</v>
      </c>
      <c r="C85" s="15" t="s">
        <v>161</v>
      </c>
      <c r="D85" s="15" t="s">
        <v>235</v>
      </c>
      <c r="E85" s="15" t="s">
        <v>227</v>
      </c>
    </row>
    <row r="86" spans="1:5">
      <c r="A86" s="24" t="s">
        <v>249</v>
      </c>
      <c r="B86" s="15" t="s">
        <v>161</v>
      </c>
      <c r="C86" s="15" t="s">
        <v>163</v>
      </c>
      <c r="D86" s="15" t="s">
        <v>236</v>
      </c>
      <c r="E86" s="15" t="s">
        <v>237</v>
      </c>
    </row>
    <row r="87" spans="1:5">
      <c r="A87" s="24" t="s">
        <v>249</v>
      </c>
      <c r="B87" s="15" t="s">
        <v>161</v>
      </c>
      <c r="C87" s="15" t="s">
        <v>165</v>
      </c>
      <c r="D87" s="15" t="s">
        <v>235</v>
      </c>
      <c r="E87" s="15" t="s">
        <v>222</v>
      </c>
    </row>
    <row r="88" spans="1:5">
      <c r="A88" s="24" t="s">
        <v>249</v>
      </c>
      <c r="B88" s="15" t="s">
        <v>161</v>
      </c>
      <c r="C88" s="15" t="s">
        <v>167</v>
      </c>
      <c r="D88" s="15" t="s">
        <v>235</v>
      </c>
      <c r="E88" s="15" t="s">
        <v>158</v>
      </c>
    </row>
    <row r="89" spans="1:5">
      <c r="A89" s="24" t="s">
        <v>249</v>
      </c>
      <c r="B89" s="15" t="s">
        <v>161</v>
      </c>
      <c r="C89" s="15" t="s">
        <v>169</v>
      </c>
      <c r="D89" s="15" t="s">
        <v>235</v>
      </c>
      <c r="E89" s="15" t="s">
        <v>162</v>
      </c>
    </row>
    <row r="90" spans="1:5">
      <c r="A90" s="24" t="s">
        <v>249</v>
      </c>
      <c r="B90" s="15" t="s">
        <v>161</v>
      </c>
      <c r="C90" s="15" t="s">
        <v>171</v>
      </c>
      <c r="D90" s="15" t="s">
        <v>235</v>
      </c>
      <c r="E90" s="15" t="s">
        <v>164</v>
      </c>
    </row>
    <row r="91" spans="1:5">
      <c r="A91" s="24" t="s">
        <v>249</v>
      </c>
      <c r="B91" s="15" t="s">
        <v>161</v>
      </c>
      <c r="C91" s="15" t="s">
        <v>172</v>
      </c>
      <c r="D91" s="15" t="s">
        <v>238</v>
      </c>
      <c r="E91" s="15" t="s">
        <v>222</v>
      </c>
    </row>
    <row r="92" spans="1:5">
      <c r="A92" s="24" t="s">
        <v>249</v>
      </c>
      <c r="B92" s="15" t="s">
        <v>161</v>
      </c>
      <c r="C92" s="15" t="s">
        <v>173</v>
      </c>
      <c r="D92" s="15" t="s">
        <v>238</v>
      </c>
      <c r="E92" s="15" t="s">
        <v>162</v>
      </c>
    </row>
    <row r="93" spans="1:5">
      <c r="A93" s="24" t="s">
        <v>249</v>
      </c>
      <c r="B93" s="15" t="s">
        <v>161</v>
      </c>
      <c r="C93" s="15" t="s">
        <v>175</v>
      </c>
      <c r="D93" s="15" t="s">
        <v>238</v>
      </c>
      <c r="E93" s="15" t="s">
        <v>164</v>
      </c>
    </row>
    <row r="94" spans="1:5">
      <c r="A94" s="24" t="s">
        <v>249</v>
      </c>
      <c r="B94" s="15" t="s">
        <v>161</v>
      </c>
      <c r="C94" s="15" t="s">
        <v>178</v>
      </c>
      <c r="D94" s="15" t="s">
        <v>238</v>
      </c>
      <c r="E94" s="15" t="s">
        <v>223</v>
      </c>
    </row>
    <row r="95" spans="1:5">
      <c r="A95" s="24" t="s">
        <v>249</v>
      </c>
      <c r="B95" s="15" t="s">
        <v>161</v>
      </c>
      <c r="C95" s="15" t="s">
        <v>180</v>
      </c>
      <c r="D95" s="15" t="s">
        <v>239</v>
      </c>
      <c r="E95" s="15" t="s">
        <v>222</v>
      </c>
    </row>
    <row r="96" spans="1:5">
      <c r="A96" s="24" t="s">
        <v>249</v>
      </c>
      <c r="B96" s="15" t="s">
        <v>161</v>
      </c>
      <c r="C96" s="15" t="s">
        <v>228</v>
      </c>
      <c r="D96" s="15" t="s">
        <v>239</v>
      </c>
      <c r="E96" s="15" t="s">
        <v>162</v>
      </c>
    </row>
    <row r="97" spans="1:5">
      <c r="A97" s="24" t="s">
        <v>249</v>
      </c>
      <c r="B97" s="15" t="s">
        <v>161</v>
      </c>
      <c r="C97" s="15" t="s">
        <v>229</v>
      </c>
      <c r="D97" s="15" t="s">
        <v>239</v>
      </c>
      <c r="E97" s="15" t="s">
        <v>164</v>
      </c>
    </row>
    <row r="98" spans="1:5">
      <c r="A98" s="24" t="s">
        <v>249</v>
      </c>
      <c r="B98" s="15" t="s">
        <v>161</v>
      </c>
      <c r="C98" s="15" t="s">
        <v>230</v>
      </c>
      <c r="D98" s="15" t="s">
        <v>240</v>
      </c>
      <c r="E98" s="15" t="s">
        <v>222</v>
      </c>
    </row>
    <row r="99" spans="1:5">
      <c r="A99" s="24" t="s">
        <v>249</v>
      </c>
      <c r="B99" s="15" t="s">
        <v>161</v>
      </c>
      <c r="C99" s="15" t="s">
        <v>241</v>
      </c>
      <c r="D99" s="15" t="s">
        <v>240</v>
      </c>
      <c r="E99" s="15" t="s">
        <v>162</v>
      </c>
    </row>
    <row r="100" spans="1:5">
      <c r="A100" s="24" t="s">
        <v>249</v>
      </c>
      <c r="B100" s="15" t="s">
        <v>163</v>
      </c>
      <c r="C100" s="15" t="s">
        <v>155</v>
      </c>
      <c r="D100" s="15" t="s">
        <v>240</v>
      </c>
      <c r="E100" s="15" t="s">
        <v>164</v>
      </c>
    </row>
    <row r="101" spans="1:5">
      <c r="A101" s="24" t="s">
        <v>249</v>
      </c>
      <c r="B101" s="15" t="s">
        <v>163</v>
      </c>
      <c r="C101" s="15" t="s">
        <v>183</v>
      </c>
      <c r="D101" s="15" t="s">
        <v>240</v>
      </c>
      <c r="E101" s="15" t="s">
        <v>242</v>
      </c>
    </row>
    <row r="102" spans="1:5">
      <c r="A102" s="24" t="s">
        <v>249</v>
      </c>
      <c r="B102" s="15" t="s">
        <v>163</v>
      </c>
      <c r="C102" s="15" t="s">
        <v>185</v>
      </c>
      <c r="D102" s="15" t="s">
        <v>243</v>
      </c>
      <c r="E102" s="15" t="s">
        <v>237</v>
      </c>
    </row>
    <row r="103" spans="1:5">
      <c r="A103" s="24" t="s">
        <v>249</v>
      </c>
      <c r="B103" s="15" t="s">
        <v>163</v>
      </c>
      <c r="C103" s="15" t="s">
        <v>156</v>
      </c>
      <c r="D103" s="15" t="s">
        <v>243</v>
      </c>
      <c r="E103" s="15" t="s">
        <v>164</v>
      </c>
    </row>
    <row r="104" spans="1:5">
      <c r="A104" s="24" t="s">
        <v>249</v>
      </c>
      <c r="B104" s="15" t="s">
        <v>163</v>
      </c>
      <c r="C104" s="15" t="s">
        <v>159</v>
      </c>
      <c r="D104" s="15" t="s">
        <v>244</v>
      </c>
      <c r="E104" s="15" t="s">
        <v>245</v>
      </c>
    </row>
    <row r="105" spans="1:5">
      <c r="A105" s="24" t="s">
        <v>249</v>
      </c>
      <c r="B105" s="15" t="s">
        <v>163</v>
      </c>
      <c r="C105" s="15" t="s">
        <v>161</v>
      </c>
      <c r="D105" s="15" t="s">
        <v>246</v>
      </c>
      <c r="E105" s="15" t="s">
        <v>164</v>
      </c>
    </row>
    <row r="106" spans="1:5">
      <c r="A106" s="24" t="s">
        <v>249</v>
      </c>
      <c r="B106" s="15" t="s">
        <v>163</v>
      </c>
      <c r="C106" s="15" t="s">
        <v>163</v>
      </c>
      <c r="D106" s="15" t="s">
        <v>247</v>
      </c>
      <c r="E106" s="15" t="s">
        <v>248</v>
      </c>
    </row>
    <row r="107" spans="1:5">
      <c r="A107" s="24" t="s">
        <v>310</v>
      </c>
      <c r="B107" s="24"/>
      <c r="C107" s="24"/>
      <c r="D107" s="15" t="s">
        <v>250</v>
      </c>
      <c r="E107" s="15" t="s">
        <v>311</v>
      </c>
    </row>
    <row r="108" spans="1:5">
      <c r="A108" s="24" t="s">
        <v>310</v>
      </c>
      <c r="B108" s="24"/>
      <c r="C108" s="24"/>
      <c r="D108" s="15" t="s">
        <v>312</v>
      </c>
      <c r="E108" s="15" t="s">
        <v>313</v>
      </c>
    </row>
    <row r="109" spans="1:5">
      <c r="A109" s="24" t="s">
        <v>310</v>
      </c>
      <c r="B109" s="24"/>
      <c r="C109" s="24"/>
      <c r="D109" s="15" t="s">
        <v>250</v>
      </c>
      <c r="E109" s="15" t="s">
        <v>314</v>
      </c>
    </row>
    <row r="110" spans="1:5" ht="30.75">
      <c r="A110" s="24" t="s">
        <v>315</v>
      </c>
      <c r="B110" s="18" t="s">
        <v>316</v>
      </c>
      <c r="C110" s="15" t="s">
        <v>155</v>
      </c>
      <c r="D110" s="15" t="s">
        <v>317</v>
      </c>
      <c r="E110" s="15" t="s">
        <v>318</v>
      </c>
    </row>
    <row r="111" spans="1:5" ht="30.75">
      <c r="A111" s="24" t="s">
        <v>315</v>
      </c>
      <c r="B111" s="18" t="s">
        <v>316</v>
      </c>
      <c r="C111" s="15" t="s">
        <v>155</v>
      </c>
      <c r="D111" s="15" t="s">
        <v>319</v>
      </c>
      <c r="E111" s="15" t="s">
        <v>320</v>
      </c>
    </row>
    <row r="112" spans="1:5">
      <c r="A112" s="24" t="s">
        <v>315</v>
      </c>
      <c r="B112" s="15" t="s">
        <v>185</v>
      </c>
      <c r="C112" s="15" t="s">
        <v>156</v>
      </c>
      <c r="D112" s="15" t="s">
        <v>321</v>
      </c>
      <c r="E112" s="15" t="s">
        <v>322</v>
      </c>
    </row>
    <row r="113" spans="1:5">
      <c r="A113" s="24" t="s">
        <v>315</v>
      </c>
      <c r="B113" s="15" t="s">
        <v>156</v>
      </c>
      <c r="C113" s="15" t="s">
        <v>155</v>
      </c>
      <c r="D113" s="15" t="s">
        <v>323</v>
      </c>
      <c r="E113" s="15" t="s">
        <v>324</v>
      </c>
    </row>
    <row r="114" spans="1:5">
      <c r="A114" s="24" t="s">
        <v>315</v>
      </c>
      <c r="B114" s="15" t="s">
        <v>156</v>
      </c>
      <c r="C114" s="15" t="s">
        <v>183</v>
      </c>
      <c r="D114" s="15" t="s">
        <v>323</v>
      </c>
      <c r="E114" s="15" t="s">
        <v>325</v>
      </c>
    </row>
    <row r="115" spans="1:5">
      <c r="A115" s="24" t="s">
        <v>315</v>
      </c>
      <c r="B115" s="15" t="s">
        <v>185</v>
      </c>
      <c r="C115" s="15" t="s">
        <v>159</v>
      </c>
      <c r="D115" s="15" t="s">
        <v>326</v>
      </c>
      <c r="E115" s="15" t="s">
        <v>327</v>
      </c>
    </row>
    <row r="116" spans="1:5">
      <c r="A116" s="24" t="s">
        <v>315</v>
      </c>
      <c r="B116" s="15" t="s">
        <v>316</v>
      </c>
      <c r="C116" s="15" t="s">
        <v>155</v>
      </c>
      <c r="D116" s="15" t="s">
        <v>326</v>
      </c>
      <c r="E116" s="15" t="s">
        <v>328</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D0EB62-3DED-48EA-97F8-86D97CA9E9D6}">
  <dimension ref="A1:E159"/>
  <sheetViews>
    <sheetView workbookViewId="0"/>
  </sheetViews>
  <sheetFormatPr defaultColWidth="0" defaultRowHeight="15"/>
  <cols>
    <col min="1" max="1" width="49.5703125" style="14" customWidth="1"/>
    <col min="2" max="3" width="9.140625" style="14" customWidth="1"/>
    <col min="4" max="4" width="29.7109375" style="14" customWidth="1"/>
    <col min="5" max="5" width="74.28515625" style="14" customWidth="1"/>
    <col min="6" max="16384" width="0" style="14" hidden="1"/>
  </cols>
  <sheetData>
    <row r="1" spans="1:5">
      <c r="A1" s="13" t="s">
        <v>145</v>
      </c>
      <c r="B1" s="13" t="s">
        <v>146</v>
      </c>
      <c r="C1" s="13" t="s">
        <v>147</v>
      </c>
      <c r="D1" s="13" t="s">
        <v>148</v>
      </c>
      <c r="E1" s="13" t="s">
        <v>51</v>
      </c>
    </row>
    <row r="2" spans="1:5">
      <c r="A2" s="24" t="s">
        <v>329</v>
      </c>
      <c r="B2" s="22">
        <v>1</v>
      </c>
      <c r="C2" s="22">
        <v>1</v>
      </c>
      <c r="D2" s="15"/>
      <c r="E2" s="15" t="s">
        <v>330</v>
      </c>
    </row>
    <row r="3" spans="1:5">
      <c r="A3" s="24" t="s">
        <v>331</v>
      </c>
      <c r="B3" s="22">
        <v>1</v>
      </c>
      <c r="C3" s="22">
        <v>2</v>
      </c>
      <c r="D3" s="15"/>
      <c r="E3" s="15" t="s">
        <v>332</v>
      </c>
    </row>
    <row r="4" spans="1:5">
      <c r="A4" s="24" t="s">
        <v>331</v>
      </c>
      <c r="B4" s="15" t="s">
        <v>155</v>
      </c>
      <c r="C4" s="15" t="s">
        <v>185</v>
      </c>
      <c r="D4" s="15" t="s">
        <v>333</v>
      </c>
      <c r="E4" s="15" t="s">
        <v>334</v>
      </c>
    </row>
    <row r="5" spans="1:5">
      <c r="A5" s="24" t="s">
        <v>331</v>
      </c>
      <c r="B5" s="15" t="s">
        <v>155</v>
      </c>
      <c r="C5" s="15" t="s">
        <v>156</v>
      </c>
      <c r="D5" s="15" t="s">
        <v>335</v>
      </c>
      <c r="E5" s="15" t="s">
        <v>334</v>
      </c>
    </row>
    <row r="6" spans="1:5">
      <c r="A6" s="24" t="s">
        <v>331</v>
      </c>
      <c r="B6" s="15" t="s">
        <v>155</v>
      </c>
      <c r="C6" s="15" t="s">
        <v>159</v>
      </c>
      <c r="D6" s="15" t="s">
        <v>336</v>
      </c>
      <c r="E6" s="15" t="s">
        <v>334</v>
      </c>
    </row>
    <row r="7" spans="1:5">
      <c r="A7" s="24" t="s">
        <v>331</v>
      </c>
      <c r="B7" s="15" t="s">
        <v>155</v>
      </c>
      <c r="C7" s="15" t="s">
        <v>161</v>
      </c>
      <c r="D7" s="15" t="s">
        <v>337</v>
      </c>
      <c r="E7" s="15" t="s">
        <v>334</v>
      </c>
    </row>
    <row r="8" spans="1:5">
      <c r="A8" s="24" t="s">
        <v>331</v>
      </c>
      <c r="B8" s="15" t="s">
        <v>155</v>
      </c>
      <c r="C8" s="15" t="s">
        <v>163</v>
      </c>
      <c r="D8" s="15" t="s">
        <v>338</v>
      </c>
      <c r="E8" s="15" t="s">
        <v>334</v>
      </c>
    </row>
    <row r="9" spans="1:5">
      <c r="A9" s="24" t="s">
        <v>331</v>
      </c>
      <c r="B9" s="15" t="s">
        <v>155</v>
      </c>
      <c r="C9" s="15" t="s">
        <v>165</v>
      </c>
      <c r="D9" s="15" t="s">
        <v>339</v>
      </c>
      <c r="E9" s="15" t="s">
        <v>334</v>
      </c>
    </row>
    <row r="10" spans="1:5">
      <c r="A10" s="24" t="s">
        <v>331</v>
      </c>
      <c r="B10" s="15" t="s">
        <v>155</v>
      </c>
      <c r="C10" s="15" t="s">
        <v>167</v>
      </c>
      <c r="D10" s="15" t="s">
        <v>340</v>
      </c>
      <c r="E10" s="15" t="s">
        <v>334</v>
      </c>
    </row>
    <row r="11" spans="1:5">
      <c r="A11" s="24" t="s">
        <v>331</v>
      </c>
      <c r="B11" s="15" t="s">
        <v>155</v>
      </c>
      <c r="C11" s="15" t="s">
        <v>169</v>
      </c>
      <c r="D11" s="15" t="s">
        <v>341</v>
      </c>
      <c r="E11" s="15" t="s">
        <v>334</v>
      </c>
    </row>
    <row r="12" spans="1:5">
      <c r="A12" s="24" t="s">
        <v>331</v>
      </c>
      <c r="B12" s="15" t="s">
        <v>155</v>
      </c>
      <c r="C12" s="15" t="s">
        <v>171</v>
      </c>
      <c r="D12" s="15" t="s">
        <v>342</v>
      </c>
      <c r="E12" s="15" t="s">
        <v>334</v>
      </c>
    </row>
    <row r="13" spans="1:5">
      <c r="A13" s="24" t="s">
        <v>331</v>
      </c>
      <c r="B13" s="15" t="s">
        <v>155</v>
      </c>
      <c r="C13" s="15" t="s">
        <v>172</v>
      </c>
      <c r="D13" s="15" t="s">
        <v>343</v>
      </c>
      <c r="E13" s="15" t="s">
        <v>334</v>
      </c>
    </row>
    <row r="14" spans="1:5">
      <c r="A14" s="24" t="s">
        <v>331</v>
      </c>
      <c r="B14" s="15" t="s">
        <v>155</v>
      </c>
      <c r="C14" s="15" t="s">
        <v>173</v>
      </c>
      <c r="D14" s="15" t="s">
        <v>344</v>
      </c>
      <c r="E14" s="15" t="s">
        <v>334</v>
      </c>
    </row>
    <row r="15" spans="1:5">
      <c r="A15" s="24" t="s">
        <v>331</v>
      </c>
      <c r="B15" s="15" t="s">
        <v>155</v>
      </c>
      <c r="C15" s="15" t="s">
        <v>175</v>
      </c>
      <c r="D15" s="15" t="s">
        <v>345</v>
      </c>
      <c r="E15" s="15" t="s">
        <v>334</v>
      </c>
    </row>
    <row r="16" spans="1:5">
      <c r="A16" s="24" t="s">
        <v>331</v>
      </c>
      <c r="B16" s="15" t="s">
        <v>155</v>
      </c>
      <c r="C16" s="15" t="s">
        <v>178</v>
      </c>
      <c r="D16" s="15" t="s">
        <v>346</v>
      </c>
      <c r="E16" s="15" t="s">
        <v>334</v>
      </c>
    </row>
    <row r="17" spans="1:5">
      <c r="A17" s="24" t="s">
        <v>331</v>
      </c>
      <c r="B17" s="15" t="s">
        <v>155</v>
      </c>
      <c r="C17" s="15" t="s">
        <v>180</v>
      </c>
      <c r="D17" s="15" t="s">
        <v>347</v>
      </c>
      <c r="E17" s="15" t="s">
        <v>334</v>
      </c>
    </row>
    <row r="18" spans="1:5">
      <c r="A18" s="24" t="s">
        <v>331</v>
      </c>
      <c r="B18" s="15" t="s">
        <v>155</v>
      </c>
      <c r="C18" s="15" t="s">
        <v>228</v>
      </c>
      <c r="D18" s="15" t="s">
        <v>348</v>
      </c>
      <c r="E18" s="15" t="s">
        <v>334</v>
      </c>
    </row>
    <row r="19" spans="1:5" ht="15" customHeight="1">
      <c r="A19" s="24" t="s">
        <v>331</v>
      </c>
      <c r="B19" s="15" t="s">
        <v>155</v>
      </c>
      <c r="C19" s="15" t="s">
        <v>229</v>
      </c>
      <c r="D19" s="15" t="s">
        <v>349</v>
      </c>
      <c r="E19" s="15" t="s">
        <v>334</v>
      </c>
    </row>
    <row r="20" spans="1:5">
      <c r="A20" s="24" t="s">
        <v>331</v>
      </c>
      <c r="B20" s="15" t="s">
        <v>155</v>
      </c>
      <c r="C20" s="15" t="s">
        <v>230</v>
      </c>
      <c r="D20" s="15" t="s">
        <v>350</v>
      </c>
      <c r="E20" s="15" t="s">
        <v>334</v>
      </c>
    </row>
    <row r="21" spans="1:5">
      <c r="A21" s="24" t="s">
        <v>331</v>
      </c>
      <c r="B21" s="15" t="s">
        <v>155</v>
      </c>
      <c r="C21" s="15" t="s">
        <v>241</v>
      </c>
      <c r="D21" s="15" t="s">
        <v>351</v>
      </c>
      <c r="E21" s="15" t="s">
        <v>334</v>
      </c>
    </row>
    <row r="22" spans="1:5">
      <c r="A22" s="24" t="s">
        <v>331</v>
      </c>
      <c r="B22" s="15" t="s">
        <v>155</v>
      </c>
      <c r="C22" s="15" t="s">
        <v>352</v>
      </c>
      <c r="D22" s="15" t="s">
        <v>353</v>
      </c>
      <c r="E22" s="15" t="s">
        <v>334</v>
      </c>
    </row>
    <row r="23" spans="1:5">
      <c r="A23" s="24" t="s">
        <v>331</v>
      </c>
      <c r="B23" s="15" t="s">
        <v>155</v>
      </c>
      <c r="C23" s="15" t="s">
        <v>354</v>
      </c>
      <c r="D23" s="15" t="s">
        <v>355</v>
      </c>
      <c r="E23" s="15" t="s">
        <v>334</v>
      </c>
    </row>
    <row r="24" spans="1:5">
      <c r="A24" s="24" t="s">
        <v>331</v>
      </c>
      <c r="B24" s="15" t="s">
        <v>155</v>
      </c>
      <c r="C24" s="15" t="s">
        <v>356</v>
      </c>
      <c r="D24" s="15" t="s">
        <v>357</v>
      </c>
      <c r="E24" s="15" t="s">
        <v>334</v>
      </c>
    </row>
    <row r="25" spans="1:5" ht="15" customHeight="1">
      <c r="A25" s="24" t="s">
        <v>331</v>
      </c>
      <c r="B25" s="15" t="s">
        <v>155</v>
      </c>
      <c r="C25" s="15" t="s">
        <v>358</v>
      </c>
      <c r="D25" s="15" t="s">
        <v>359</v>
      </c>
      <c r="E25" s="15" t="s">
        <v>334</v>
      </c>
    </row>
    <row r="26" spans="1:5">
      <c r="A26" s="24" t="s">
        <v>331</v>
      </c>
      <c r="B26" s="15" t="s">
        <v>155</v>
      </c>
      <c r="C26" s="15" t="s">
        <v>360</v>
      </c>
      <c r="D26" s="15" t="s">
        <v>361</v>
      </c>
      <c r="E26" s="15" t="s">
        <v>334</v>
      </c>
    </row>
    <row r="27" spans="1:5">
      <c r="A27" s="24" t="s">
        <v>331</v>
      </c>
      <c r="B27" s="15" t="s">
        <v>183</v>
      </c>
      <c r="C27" s="15" t="s">
        <v>155</v>
      </c>
      <c r="D27" s="15" t="s">
        <v>362</v>
      </c>
      <c r="E27" s="15" t="s">
        <v>334</v>
      </c>
    </row>
    <row r="28" spans="1:5">
      <c r="A28" s="24" t="s">
        <v>331</v>
      </c>
      <c r="B28" s="15" t="s">
        <v>183</v>
      </c>
      <c r="C28" s="15" t="s">
        <v>183</v>
      </c>
      <c r="D28" s="15" t="s">
        <v>363</v>
      </c>
      <c r="E28" s="15" t="s">
        <v>334</v>
      </c>
    </row>
    <row r="29" spans="1:5">
      <c r="A29" s="24" t="s">
        <v>331</v>
      </c>
      <c r="B29" s="15" t="s">
        <v>183</v>
      </c>
      <c r="C29" s="15" t="s">
        <v>185</v>
      </c>
      <c r="D29" s="15" t="s">
        <v>364</v>
      </c>
      <c r="E29" s="15" t="s">
        <v>334</v>
      </c>
    </row>
    <row r="30" spans="1:5">
      <c r="A30" s="24" t="s">
        <v>331</v>
      </c>
      <c r="B30" s="15" t="s">
        <v>183</v>
      </c>
      <c r="C30" s="15" t="s">
        <v>156</v>
      </c>
      <c r="D30" s="15" t="s">
        <v>365</v>
      </c>
      <c r="E30" s="15" t="s">
        <v>334</v>
      </c>
    </row>
    <row r="31" spans="1:5">
      <c r="A31" s="24" t="s">
        <v>331</v>
      </c>
      <c r="B31" s="15" t="s">
        <v>183</v>
      </c>
      <c r="C31" s="15" t="s">
        <v>159</v>
      </c>
      <c r="D31" s="15" t="s">
        <v>366</v>
      </c>
      <c r="E31" s="15" t="s">
        <v>334</v>
      </c>
    </row>
    <row r="32" spans="1:5">
      <c r="A32" s="24" t="s">
        <v>331</v>
      </c>
      <c r="B32" s="15" t="s">
        <v>183</v>
      </c>
      <c r="C32" s="15" t="s">
        <v>161</v>
      </c>
      <c r="D32" s="15" t="s">
        <v>367</v>
      </c>
      <c r="E32" s="15" t="s">
        <v>334</v>
      </c>
    </row>
    <row r="33" spans="1:5">
      <c r="A33" s="24" t="s">
        <v>331</v>
      </c>
      <c r="B33" s="15" t="s">
        <v>183</v>
      </c>
      <c r="C33" s="15" t="s">
        <v>163</v>
      </c>
      <c r="D33" s="15" t="s">
        <v>368</v>
      </c>
      <c r="E33" s="15" t="s">
        <v>334</v>
      </c>
    </row>
    <row r="34" spans="1:5">
      <c r="A34" s="24" t="s">
        <v>331</v>
      </c>
      <c r="B34" s="15" t="s">
        <v>183</v>
      </c>
      <c r="C34" s="15" t="s">
        <v>165</v>
      </c>
      <c r="D34" s="15" t="s">
        <v>369</v>
      </c>
      <c r="E34" s="15" t="s">
        <v>334</v>
      </c>
    </row>
    <row r="35" spans="1:5">
      <c r="A35" s="24" t="s">
        <v>331</v>
      </c>
      <c r="B35" s="15" t="s">
        <v>183</v>
      </c>
      <c r="C35" s="15" t="s">
        <v>167</v>
      </c>
      <c r="D35" s="15" t="s">
        <v>370</v>
      </c>
      <c r="E35" s="15" t="s">
        <v>334</v>
      </c>
    </row>
    <row r="36" spans="1:5">
      <c r="A36" s="24" t="s">
        <v>331</v>
      </c>
      <c r="B36" s="15" t="s">
        <v>183</v>
      </c>
      <c r="C36" s="15" t="s">
        <v>169</v>
      </c>
      <c r="D36" s="15" t="s">
        <v>371</v>
      </c>
      <c r="E36" s="15" t="s">
        <v>334</v>
      </c>
    </row>
    <row r="37" spans="1:5">
      <c r="A37" s="24" t="s">
        <v>331</v>
      </c>
      <c r="B37" s="15" t="s">
        <v>183</v>
      </c>
      <c r="C37" s="15" t="s">
        <v>171</v>
      </c>
      <c r="D37" s="15" t="s">
        <v>372</v>
      </c>
      <c r="E37" s="15" t="s">
        <v>334</v>
      </c>
    </row>
    <row r="38" spans="1:5">
      <c r="A38" s="24" t="s">
        <v>331</v>
      </c>
      <c r="B38" s="15" t="s">
        <v>183</v>
      </c>
      <c r="C38" s="15" t="s">
        <v>172</v>
      </c>
      <c r="D38" s="15" t="s">
        <v>373</v>
      </c>
      <c r="E38" s="15" t="s">
        <v>334</v>
      </c>
    </row>
    <row r="39" spans="1:5">
      <c r="A39" s="24" t="s">
        <v>331</v>
      </c>
      <c r="B39" s="15" t="s">
        <v>183</v>
      </c>
      <c r="C39" s="15" t="s">
        <v>173</v>
      </c>
      <c r="D39" s="15" t="s">
        <v>374</v>
      </c>
      <c r="E39" s="15" t="s">
        <v>334</v>
      </c>
    </row>
    <row r="40" spans="1:5">
      <c r="A40" s="24" t="s">
        <v>331</v>
      </c>
      <c r="B40" s="15" t="s">
        <v>183</v>
      </c>
      <c r="C40" s="15" t="s">
        <v>175</v>
      </c>
      <c r="D40" s="15" t="s">
        <v>375</v>
      </c>
      <c r="E40" s="15" t="s">
        <v>334</v>
      </c>
    </row>
    <row r="41" spans="1:5">
      <c r="A41" s="24" t="s">
        <v>331</v>
      </c>
      <c r="B41" s="15" t="s">
        <v>183</v>
      </c>
      <c r="C41" s="15" t="s">
        <v>178</v>
      </c>
      <c r="D41" s="15" t="s">
        <v>376</v>
      </c>
      <c r="E41" s="15" t="s">
        <v>334</v>
      </c>
    </row>
    <row r="42" spans="1:5">
      <c r="A42" s="24" t="s">
        <v>331</v>
      </c>
      <c r="B42" s="15" t="s">
        <v>183</v>
      </c>
      <c r="C42" s="15" t="s">
        <v>180</v>
      </c>
      <c r="D42" s="15" t="s">
        <v>377</v>
      </c>
      <c r="E42" s="15" t="s">
        <v>334</v>
      </c>
    </row>
    <row r="43" spans="1:5">
      <c r="A43" s="24" t="s">
        <v>331</v>
      </c>
      <c r="B43" s="15" t="s">
        <v>183</v>
      </c>
      <c r="C43" s="15" t="s">
        <v>228</v>
      </c>
      <c r="D43" s="15" t="s">
        <v>378</v>
      </c>
      <c r="E43" s="15" t="s">
        <v>334</v>
      </c>
    </row>
    <row r="44" spans="1:5">
      <c r="A44" s="24" t="s">
        <v>331</v>
      </c>
      <c r="B44" s="15" t="s">
        <v>183</v>
      </c>
      <c r="C44" s="15" t="s">
        <v>229</v>
      </c>
      <c r="D44" s="15" t="s">
        <v>379</v>
      </c>
      <c r="E44" s="15" t="s">
        <v>334</v>
      </c>
    </row>
    <row r="45" spans="1:5">
      <c r="A45" s="24" t="s">
        <v>331</v>
      </c>
      <c r="B45" s="15" t="s">
        <v>183</v>
      </c>
      <c r="C45" s="15" t="s">
        <v>230</v>
      </c>
      <c r="D45" s="15" t="s">
        <v>380</v>
      </c>
      <c r="E45" s="15" t="s">
        <v>334</v>
      </c>
    </row>
    <row r="46" spans="1:5">
      <c r="A46" s="24" t="s">
        <v>331</v>
      </c>
      <c r="B46" s="15" t="s">
        <v>183</v>
      </c>
      <c r="C46" s="15" t="s">
        <v>241</v>
      </c>
      <c r="D46" s="15" t="s">
        <v>381</v>
      </c>
      <c r="E46" s="15" t="s">
        <v>334</v>
      </c>
    </row>
    <row r="47" spans="1:5">
      <c r="A47" s="24" t="s">
        <v>331</v>
      </c>
      <c r="B47" s="15" t="s">
        <v>183</v>
      </c>
      <c r="C47" s="15" t="s">
        <v>352</v>
      </c>
      <c r="D47" s="15" t="s">
        <v>382</v>
      </c>
      <c r="E47" s="15" t="s">
        <v>334</v>
      </c>
    </row>
    <row r="48" spans="1:5">
      <c r="A48" s="24" t="s">
        <v>331</v>
      </c>
      <c r="B48" s="15" t="s">
        <v>183</v>
      </c>
      <c r="C48" s="15" t="s">
        <v>354</v>
      </c>
      <c r="D48" s="15" t="s">
        <v>181</v>
      </c>
      <c r="E48" s="15" t="s">
        <v>334</v>
      </c>
    </row>
    <row r="49" spans="1:5">
      <c r="A49" s="24" t="s">
        <v>331</v>
      </c>
      <c r="B49" s="15" t="s">
        <v>183</v>
      </c>
      <c r="C49" s="15" t="s">
        <v>356</v>
      </c>
      <c r="D49" s="15" t="s">
        <v>383</v>
      </c>
      <c r="E49" s="15" t="s">
        <v>334</v>
      </c>
    </row>
    <row r="50" spans="1:5">
      <c r="A50" s="24" t="s">
        <v>331</v>
      </c>
      <c r="B50" s="15" t="s">
        <v>183</v>
      </c>
      <c r="C50" s="15" t="s">
        <v>358</v>
      </c>
      <c r="D50" s="15" t="s">
        <v>384</v>
      </c>
      <c r="E50" s="15" t="s">
        <v>334</v>
      </c>
    </row>
    <row r="51" spans="1:5">
      <c r="A51" s="24" t="s">
        <v>331</v>
      </c>
      <c r="B51" s="15" t="s">
        <v>185</v>
      </c>
      <c r="C51" s="15" t="s">
        <v>155</v>
      </c>
      <c r="D51" s="15" t="s">
        <v>385</v>
      </c>
      <c r="E51" s="15" t="s">
        <v>334</v>
      </c>
    </row>
    <row r="52" spans="1:5">
      <c r="A52" s="24" t="s">
        <v>331</v>
      </c>
      <c r="B52" s="15" t="s">
        <v>185</v>
      </c>
      <c r="C52" s="15" t="s">
        <v>183</v>
      </c>
      <c r="D52" s="15" t="s">
        <v>386</v>
      </c>
      <c r="E52" s="15" t="s">
        <v>334</v>
      </c>
    </row>
    <row r="53" spans="1:5">
      <c r="A53" s="24" t="s">
        <v>331</v>
      </c>
      <c r="B53" s="15" t="s">
        <v>185</v>
      </c>
      <c r="C53" s="15" t="s">
        <v>185</v>
      </c>
      <c r="D53" s="15" t="s">
        <v>387</v>
      </c>
      <c r="E53" s="15" t="s">
        <v>334</v>
      </c>
    </row>
    <row r="54" spans="1:5">
      <c r="A54" s="24" t="s">
        <v>331</v>
      </c>
      <c r="B54" s="15" t="s">
        <v>185</v>
      </c>
      <c r="C54" s="15" t="s">
        <v>156</v>
      </c>
      <c r="D54" s="15" t="s">
        <v>200</v>
      </c>
      <c r="E54" s="15" t="s">
        <v>334</v>
      </c>
    </row>
    <row r="55" spans="1:5">
      <c r="A55" s="24" t="s">
        <v>331</v>
      </c>
      <c r="B55" s="15" t="s">
        <v>185</v>
      </c>
      <c r="C55" s="15" t="s">
        <v>159</v>
      </c>
      <c r="D55" s="15" t="s">
        <v>207</v>
      </c>
      <c r="E55" s="15" t="s">
        <v>334</v>
      </c>
    </row>
    <row r="56" spans="1:5">
      <c r="A56" s="24" t="s">
        <v>331</v>
      </c>
      <c r="B56" s="15" t="s">
        <v>185</v>
      </c>
      <c r="C56" s="15" t="s">
        <v>161</v>
      </c>
      <c r="D56" s="15" t="s">
        <v>212</v>
      </c>
      <c r="E56" s="15" t="s">
        <v>334</v>
      </c>
    </row>
    <row r="57" spans="1:5">
      <c r="A57" s="24" t="s">
        <v>331</v>
      </c>
      <c r="B57" s="15" t="s">
        <v>185</v>
      </c>
      <c r="C57" s="15" t="s">
        <v>163</v>
      </c>
      <c r="D57" s="15" t="s">
        <v>214</v>
      </c>
      <c r="E57" s="15" t="s">
        <v>334</v>
      </c>
    </row>
    <row r="58" spans="1:5">
      <c r="A58" s="24" t="s">
        <v>331</v>
      </c>
      <c r="B58" s="15" t="s">
        <v>185</v>
      </c>
      <c r="C58" s="15" t="s">
        <v>165</v>
      </c>
      <c r="D58" s="15" t="s">
        <v>217</v>
      </c>
      <c r="E58" s="15" t="s">
        <v>334</v>
      </c>
    </row>
    <row r="59" spans="1:5">
      <c r="A59" s="24" t="s">
        <v>331</v>
      </c>
      <c r="B59" s="15" t="s">
        <v>185</v>
      </c>
      <c r="C59" s="15" t="s">
        <v>167</v>
      </c>
      <c r="D59" s="15" t="s">
        <v>388</v>
      </c>
      <c r="E59" s="15" t="s">
        <v>334</v>
      </c>
    </row>
    <row r="60" spans="1:5">
      <c r="A60" s="24" t="s">
        <v>331</v>
      </c>
      <c r="B60" s="15" t="s">
        <v>185</v>
      </c>
      <c r="C60" s="15" t="s">
        <v>169</v>
      </c>
      <c r="D60" s="15" t="s">
        <v>233</v>
      </c>
      <c r="E60" s="15" t="s">
        <v>334</v>
      </c>
    </row>
    <row r="61" spans="1:5">
      <c r="A61" s="24" t="s">
        <v>389</v>
      </c>
      <c r="B61" s="15" t="s">
        <v>185</v>
      </c>
      <c r="C61" s="15" t="s">
        <v>171</v>
      </c>
      <c r="D61" s="15" t="s">
        <v>390</v>
      </c>
      <c r="E61" s="15" t="s">
        <v>391</v>
      </c>
    </row>
    <row r="62" spans="1:5">
      <c r="A62" s="24" t="s">
        <v>389</v>
      </c>
      <c r="B62" s="15" t="s">
        <v>185</v>
      </c>
      <c r="C62" s="15" t="s">
        <v>172</v>
      </c>
      <c r="D62" s="15" t="s">
        <v>392</v>
      </c>
      <c r="E62" s="15" t="s">
        <v>158</v>
      </c>
    </row>
    <row r="63" spans="1:5">
      <c r="A63" s="24" t="s">
        <v>389</v>
      </c>
      <c r="B63" s="15" t="s">
        <v>185</v>
      </c>
      <c r="C63" s="15" t="s">
        <v>173</v>
      </c>
      <c r="D63" s="15" t="s">
        <v>393</v>
      </c>
      <c r="E63" s="15" t="s">
        <v>391</v>
      </c>
    </row>
    <row r="64" spans="1:5">
      <c r="A64" s="24" t="s">
        <v>389</v>
      </c>
      <c r="B64" s="15" t="s">
        <v>185</v>
      </c>
      <c r="C64" s="15" t="s">
        <v>175</v>
      </c>
      <c r="D64" s="15" t="s">
        <v>394</v>
      </c>
      <c r="E64" s="15" t="s">
        <v>158</v>
      </c>
    </row>
    <row r="65" spans="1:5">
      <c r="A65" s="24" t="s">
        <v>389</v>
      </c>
      <c r="B65" s="15" t="s">
        <v>185</v>
      </c>
      <c r="C65" s="15" t="s">
        <v>178</v>
      </c>
      <c r="D65" s="15" t="s">
        <v>395</v>
      </c>
      <c r="E65" s="15" t="s">
        <v>158</v>
      </c>
    </row>
    <row r="66" spans="1:5">
      <c r="A66" s="24" t="s">
        <v>389</v>
      </c>
      <c r="B66" s="15" t="s">
        <v>185</v>
      </c>
      <c r="C66" s="15" t="s">
        <v>180</v>
      </c>
      <c r="D66" s="15" t="s">
        <v>396</v>
      </c>
      <c r="E66" s="15" t="s">
        <v>391</v>
      </c>
    </row>
    <row r="67" spans="1:5">
      <c r="A67" s="24" t="s">
        <v>389</v>
      </c>
      <c r="B67" s="15" t="s">
        <v>185</v>
      </c>
      <c r="C67" s="15" t="s">
        <v>228</v>
      </c>
      <c r="D67" s="15" t="s">
        <v>397</v>
      </c>
      <c r="E67" s="15" t="s">
        <v>158</v>
      </c>
    </row>
    <row r="68" spans="1:5">
      <c r="A68" s="24" t="s">
        <v>389</v>
      </c>
      <c r="B68" s="15" t="s">
        <v>185</v>
      </c>
      <c r="C68" s="15" t="s">
        <v>229</v>
      </c>
      <c r="D68" s="15" t="s">
        <v>398</v>
      </c>
      <c r="E68" s="15" t="s">
        <v>391</v>
      </c>
    </row>
    <row r="69" spans="1:5">
      <c r="A69" s="24" t="s">
        <v>389</v>
      </c>
      <c r="B69" s="15" t="s">
        <v>185</v>
      </c>
      <c r="C69" s="15" t="s">
        <v>230</v>
      </c>
      <c r="D69" s="15" t="s">
        <v>337</v>
      </c>
      <c r="E69" s="15" t="s">
        <v>158</v>
      </c>
    </row>
    <row r="70" spans="1:5">
      <c r="A70" s="24" t="s">
        <v>389</v>
      </c>
      <c r="B70" s="15" t="s">
        <v>156</v>
      </c>
      <c r="C70" s="15" t="s">
        <v>155</v>
      </c>
      <c r="D70" s="15" t="s">
        <v>399</v>
      </c>
      <c r="E70" s="15" t="s">
        <v>158</v>
      </c>
    </row>
    <row r="71" spans="1:5">
      <c r="A71" s="24" t="s">
        <v>389</v>
      </c>
      <c r="B71" s="15" t="s">
        <v>156</v>
      </c>
      <c r="C71" s="15" t="s">
        <v>183</v>
      </c>
      <c r="D71" s="15" t="s">
        <v>400</v>
      </c>
      <c r="E71" s="15" t="s">
        <v>391</v>
      </c>
    </row>
    <row r="72" spans="1:5">
      <c r="A72" s="24" t="s">
        <v>389</v>
      </c>
      <c r="B72" s="15" t="s">
        <v>156</v>
      </c>
      <c r="C72" s="15" t="s">
        <v>185</v>
      </c>
      <c r="D72" s="15" t="s">
        <v>401</v>
      </c>
      <c r="E72" s="15" t="s">
        <v>158</v>
      </c>
    </row>
    <row r="73" spans="1:5">
      <c r="A73" s="24" t="s">
        <v>389</v>
      </c>
      <c r="B73" s="15" t="s">
        <v>156</v>
      </c>
      <c r="C73" s="15" t="s">
        <v>156</v>
      </c>
      <c r="D73" s="15" t="s">
        <v>402</v>
      </c>
      <c r="E73" s="15" t="s">
        <v>158</v>
      </c>
    </row>
    <row r="74" spans="1:5">
      <c r="A74" s="24" t="s">
        <v>389</v>
      </c>
      <c r="B74" s="15" t="s">
        <v>156</v>
      </c>
      <c r="C74" s="15" t="s">
        <v>159</v>
      </c>
      <c r="D74" s="15" t="s">
        <v>253</v>
      </c>
      <c r="E74" s="15" t="s">
        <v>158</v>
      </c>
    </row>
    <row r="75" spans="1:5">
      <c r="A75" s="24" t="s">
        <v>389</v>
      </c>
      <c r="B75" s="15" t="s">
        <v>156</v>
      </c>
      <c r="C75" s="15" t="s">
        <v>161</v>
      </c>
      <c r="D75" s="15" t="s">
        <v>255</v>
      </c>
      <c r="E75" s="15" t="s">
        <v>158</v>
      </c>
    </row>
    <row r="76" spans="1:5">
      <c r="A76" s="24" t="s">
        <v>389</v>
      </c>
      <c r="B76" s="15" t="s">
        <v>156</v>
      </c>
      <c r="C76" s="15" t="s">
        <v>163</v>
      </c>
      <c r="D76" s="15" t="s">
        <v>403</v>
      </c>
      <c r="E76" s="15" t="s">
        <v>404</v>
      </c>
    </row>
    <row r="77" spans="1:5">
      <c r="A77" s="24" t="s">
        <v>389</v>
      </c>
      <c r="B77" s="15" t="s">
        <v>156</v>
      </c>
      <c r="C77" s="15" t="s">
        <v>165</v>
      </c>
      <c r="D77" s="15" t="s">
        <v>405</v>
      </c>
      <c r="E77" s="15" t="s">
        <v>406</v>
      </c>
    </row>
    <row r="78" spans="1:5">
      <c r="A78" s="24" t="s">
        <v>389</v>
      </c>
      <c r="B78" s="15" t="s">
        <v>156</v>
      </c>
      <c r="C78" s="15" t="s">
        <v>167</v>
      </c>
      <c r="D78" s="15" t="s">
        <v>407</v>
      </c>
      <c r="E78" s="15" t="s">
        <v>408</v>
      </c>
    </row>
    <row r="79" spans="1:5">
      <c r="A79" s="24" t="s">
        <v>389</v>
      </c>
      <c r="B79" s="15" t="s">
        <v>156</v>
      </c>
      <c r="C79" s="15" t="s">
        <v>169</v>
      </c>
      <c r="D79" s="15" t="s">
        <v>409</v>
      </c>
      <c r="E79" s="15" t="s">
        <v>410</v>
      </c>
    </row>
    <row r="80" spans="1:5">
      <c r="A80" s="24" t="s">
        <v>389</v>
      </c>
      <c r="B80" s="15" t="s">
        <v>156</v>
      </c>
      <c r="C80" s="15" t="s">
        <v>171</v>
      </c>
      <c r="D80" s="15" t="s">
        <v>411</v>
      </c>
      <c r="E80" s="15" t="s">
        <v>412</v>
      </c>
    </row>
    <row r="81" spans="1:5">
      <c r="A81" s="24" t="s">
        <v>389</v>
      </c>
      <c r="B81" s="15" t="s">
        <v>156</v>
      </c>
      <c r="C81" s="15" t="s">
        <v>172</v>
      </c>
      <c r="D81" s="15" t="s">
        <v>413</v>
      </c>
      <c r="E81" s="15" t="s">
        <v>414</v>
      </c>
    </row>
    <row r="82" spans="1:5">
      <c r="A82" s="24" t="s">
        <v>389</v>
      </c>
      <c r="B82" s="15" t="s">
        <v>156</v>
      </c>
      <c r="C82" s="15" t="s">
        <v>173</v>
      </c>
      <c r="D82" s="15" t="s">
        <v>415</v>
      </c>
      <c r="E82" s="15" t="s">
        <v>416</v>
      </c>
    </row>
    <row r="83" spans="1:5">
      <c r="A83" s="24" t="s">
        <v>389</v>
      </c>
      <c r="B83" s="15" t="s">
        <v>156</v>
      </c>
      <c r="C83" s="15" t="s">
        <v>175</v>
      </c>
      <c r="D83" s="15" t="s">
        <v>417</v>
      </c>
      <c r="E83" s="15" t="s">
        <v>418</v>
      </c>
    </row>
    <row r="84" spans="1:5">
      <c r="A84" s="24" t="s">
        <v>389</v>
      </c>
      <c r="B84" s="15" t="s">
        <v>156</v>
      </c>
      <c r="C84" s="15" t="s">
        <v>178</v>
      </c>
      <c r="D84" s="15" t="s">
        <v>157</v>
      </c>
      <c r="E84" s="15" t="s">
        <v>158</v>
      </c>
    </row>
    <row r="85" spans="1:5">
      <c r="A85" s="24" t="s">
        <v>389</v>
      </c>
      <c r="B85" s="15" t="s">
        <v>156</v>
      </c>
      <c r="C85" s="15" t="s">
        <v>180</v>
      </c>
      <c r="D85" s="15" t="s">
        <v>160</v>
      </c>
      <c r="E85" s="15" t="s">
        <v>158</v>
      </c>
    </row>
    <row r="86" spans="1:5">
      <c r="A86" s="24" t="s">
        <v>389</v>
      </c>
      <c r="B86" s="15" t="s">
        <v>156</v>
      </c>
      <c r="C86" s="15" t="s">
        <v>228</v>
      </c>
      <c r="D86" s="15" t="s">
        <v>170</v>
      </c>
      <c r="E86" s="15" t="s">
        <v>158</v>
      </c>
    </row>
    <row r="87" spans="1:5">
      <c r="A87" s="24" t="s">
        <v>419</v>
      </c>
      <c r="B87" s="15" t="s">
        <v>156</v>
      </c>
      <c r="C87" s="15" t="s">
        <v>229</v>
      </c>
      <c r="D87" s="15" t="s">
        <v>250</v>
      </c>
      <c r="E87" s="15" t="s">
        <v>420</v>
      </c>
    </row>
    <row r="88" spans="1:5">
      <c r="A88" s="24" t="s">
        <v>419</v>
      </c>
      <c r="B88" s="15" t="s">
        <v>156</v>
      </c>
      <c r="C88" s="15" t="s">
        <v>230</v>
      </c>
      <c r="D88" s="15" t="s">
        <v>319</v>
      </c>
      <c r="E88" s="15" t="s">
        <v>421</v>
      </c>
    </row>
    <row r="89" spans="1:5">
      <c r="A89" s="24" t="s">
        <v>419</v>
      </c>
      <c r="B89" s="15" t="s">
        <v>156</v>
      </c>
      <c r="C89" s="15" t="s">
        <v>241</v>
      </c>
      <c r="D89" s="15" t="s">
        <v>422</v>
      </c>
      <c r="E89" s="15" t="s">
        <v>423</v>
      </c>
    </row>
    <row r="90" spans="1:5">
      <c r="A90" s="24" t="s">
        <v>419</v>
      </c>
      <c r="B90" s="15" t="s">
        <v>156</v>
      </c>
      <c r="C90" s="15" t="s">
        <v>352</v>
      </c>
      <c r="D90" s="15" t="s">
        <v>303</v>
      </c>
      <c r="E90" s="15" t="s">
        <v>424</v>
      </c>
    </row>
    <row r="91" spans="1:5">
      <c r="A91" s="24" t="s">
        <v>419</v>
      </c>
      <c r="B91" s="15" t="s">
        <v>156</v>
      </c>
      <c r="C91" s="15" t="s">
        <v>354</v>
      </c>
      <c r="D91" s="15" t="s">
        <v>425</v>
      </c>
      <c r="E91" s="15" t="s">
        <v>426</v>
      </c>
    </row>
    <row r="92" spans="1:5">
      <c r="A92" s="24" t="s">
        <v>419</v>
      </c>
      <c r="B92" s="15" t="s">
        <v>156</v>
      </c>
      <c r="C92" s="15" t="s">
        <v>356</v>
      </c>
      <c r="D92" s="15" t="s">
        <v>307</v>
      </c>
      <c r="E92" s="15" t="s">
        <v>427</v>
      </c>
    </row>
    <row r="93" spans="1:5">
      <c r="A93" s="24" t="s">
        <v>419</v>
      </c>
      <c r="B93" s="15" t="s">
        <v>156</v>
      </c>
      <c r="C93" s="15" t="s">
        <v>358</v>
      </c>
      <c r="D93" s="15" t="s">
        <v>428</v>
      </c>
      <c r="E93" s="15" t="s">
        <v>429</v>
      </c>
    </row>
    <row r="94" spans="1:5">
      <c r="A94" s="24" t="s">
        <v>419</v>
      </c>
      <c r="B94" s="15" t="s">
        <v>156</v>
      </c>
      <c r="C94" s="15" t="s">
        <v>360</v>
      </c>
      <c r="D94" s="15" t="s">
        <v>253</v>
      </c>
      <c r="E94" s="15" t="s">
        <v>430</v>
      </c>
    </row>
    <row r="95" spans="1:5">
      <c r="A95" s="24" t="s">
        <v>419</v>
      </c>
      <c r="B95" s="15" t="s">
        <v>156</v>
      </c>
      <c r="C95" s="15" t="s">
        <v>431</v>
      </c>
      <c r="D95" s="15" t="s">
        <v>255</v>
      </c>
      <c r="E95" s="15" t="s">
        <v>432</v>
      </c>
    </row>
    <row r="96" spans="1:5">
      <c r="A96" s="24" t="s">
        <v>419</v>
      </c>
      <c r="B96" s="15" t="s">
        <v>156</v>
      </c>
      <c r="C96" s="15" t="s">
        <v>433</v>
      </c>
      <c r="D96" s="15" t="s">
        <v>256</v>
      </c>
      <c r="E96" s="15" t="s">
        <v>434</v>
      </c>
    </row>
    <row r="97" spans="1:5">
      <c r="A97" s="24" t="s">
        <v>419</v>
      </c>
      <c r="B97" s="15" t="s">
        <v>156</v>
      </c>
      <c r="C97" s="15" t="s">
        <v>435</v>
      </c>
      <c r="D97" s="15" t="s">
        <v>257</v>
      </c>
      <c r="E97" s="15" t="s">
        <v>436</v>
      </c>
    </row>
    <row r="98" spans="1:5">
      <c r="A98" s="24" t="s">
        <v>419</v>
      </c>
      <c r="B98" s="15" t="s">
        <v>156</v>
      </c>
      <c r="C98" s="15" t="s">
        <v>437</v>
      </c>
      <c r="D98" s="15" t="s">
        <v>258</v>
      </c>
      <c r="E98" s="15" t="s">
        <v>438</v>
      </c>
    </row>
    <row r="99" spans="1:5">
      <c r="A99" s="24" t="s">
        <v>419</v>
      </c>
      <c r="B99" s="15" t="s">
        <v>156</v>
      </c>
      <c r="C99" s="15" t="s">
        <v>439</v>
      </c>
      <c r="D99" s="15" t="s">
        <v>440</v>
      </c>
      <c r="E99" s="15" t="s">
        <v>441</v>
      </c>
    </row>
    <row r="100" spans="1:5">
      <c r="A100" s="24" t="s">
        <v>419</v>
      </c>
      <c r="B100" s="15" t="s">
        <v>156</v>
      </c>
      <c r="C100" s="15" t="s">
        <v>442</v>
      </c>
      <c r="D100" s="15" t="s">
        <v>443</v>
      </c>
      <c r="E100" s="15" t="s">
        <v>444</v>
      </c>
    </row>
    <row r="101" spans="1:5">
      <c r="A101" s="24" t="s">
        <v>419</v>
      </c>
      <c r="B101" s="15" t="s">
        <v>156</v>
      </c>
      <c r="C101" s="15" t="s">
        <v>445</v>
      </c>
      <c r="D101" s="15" t="s">
        <v>446</v>
      </c>
      <c r="E101" s="15" t="s">
        <v>447</v>
      </c>
    </row>
    <row r="102" spans="1:5">
      <c r="A102" s="24" t="s">
        <v>419</v>
      </c>
      <c r="B102" s="15" t="s">
        <v>156</v>
      </c>
      <c r="C102" s="15" t="s">
        <v>448</v>
      </c>
      <c r="D102" s="15" t="s">
        <v>292</v>
      </c>
      <c r="E102" s="15" t="s">
        <v>449</v>
      </c>
    </row>
    <row r="103" spans="1:5">
      <c r="A103" s="24" t="s">
        <v>419</v>
      </c>
      <c r="B103" s="15" t="s">
        <v>156</v>
      </c>
      <c r="C103" s="15" t="s">
        <v>450</v>
      </c>
      <c r="D103" s="15" t="s">
        <v>157</v>
      </c>
      <c r="E103" s="15" t="s">
        <v>451</v>
      </c>
    </row>
    <row r="104" spans="1:5">
      <c r="A104" s="24" t="s">
        <v>419</v>
      </c>
      <c r="B104" s="15" t="s">
        <v>159</v>
      </c>
      <c r="C104" s="15" t="s">
        <v>155</v>
      </c>
      <c r="D104" s="15" t="s">
        <v>170</v>
      </c>
      <c r="E104" s="15" t="s">
        <v>452</v>
      </c>
    </row>
    <row r="105" spans="1:5">
      <c r="A105" s="24" t="s">
        <v>419</v>
      </c>
      <c r="B105" s="15" t="s">
        <v>159</v>
      </c>
      <c r="C105" s="15" t="s">
        <v>183</v>
      </c>
      <c r="D105" s="15" t="s">
        <v>184</v>
      </c>
      <c r="E105" s="15" t="s">
        <v>453</v>
      </c>
    </row>
    <row r="106" spans="1:5">
      <c r="A106" s="24" t="s">
        <v>419</v>
      </c>
      <c r="B106" s="15" t="s">
        <v>159</v>
      </c>
      <c r="C106" s="15" t="s">
        <v>185</v>
      </c>
      <c r="D106" s="15" t="s">
        <v>187</v>
      </c>
      <c r="E106" s="15" t="s">
        <v>454</v>
      </c>
    </row>
    <row r="107" spans="1:5">
      <c r="A107" s="24" t="s">
        <v>419</v>
      </c>
      <c r="B107" s="15" t="s">
        <v>159</v>
      </c>
      <c r="C107" s="15" t="s">
        <v>156</v>
      </c>
      <c r="D107" s="15" t="s">
        <v>191</v>
      </c>
      <c r="E107" s="15" t="s">
        <v>455</v>
      </c>
    </row>
    <row r="108" spans="1:5">
      <c r="A108" s="24" t="s">
        <v>419</v>
      </c>
      <c r="B108" s="15" t="s">
        <v>159</v>
      </c>
      <c r="C108" s="15" t="s">
        <v>159</v>
      </c>
      <c r="D108" s="15" t="s">
        <v>194</v>
      </c>
      <c r="E108" s="15" t="s">
        <v>456</v>
      </c>
    </row>
    <row r="109" spans="1:5">
      <c r="A109" s="24" t="s">
        <v>419</v>
      </c>
      <c r="B109" s="15" t="s">
        <v>159</v>
      </c>
      <c r="C109" s="15" t="s">
        <v>161</v>
      </c>
      <c r="D109" s="15" t="s">
        <v>197</v>
      </c>
      <c r="E109" s="15" t="s">
        <v>457</v>
      </c>
    </row>
    <row r="110" spans="1:5">
      <c r="A110" s="24" t="s">
        <v>419</v>
      </c>
      <c r="B110" s="15" t="s">
        <v>159</v>
      </c>
      <c r="C110" s="15" t="s">
        <v>163</v>
      </c>
      <c r="D110" s="15" t="s">
        <v>199</v>
      </c>
      <c r="E110" s="15" t="s">
        <v>458</v>
      </c>
    </row>
    <row r="111" spans="1:5">
      <c r="A111" s="24" t="s">
        <v>419</v>
      </c>
      <c r="B111" s="15" t="s">
        <v>159</v>
      </c>
      <c r="C111" s="15" t="s">
        <v>165</v>
      </c>
      <c r="D111" s="15" t="s">
        <v>202</v>
      </c>
      <c r="E111" s="15" t="s">
        <v>459</v>
      </c>
    </row>
    <row r="112" spans="1:5">
      <c r="A112" s="24" t="s">
        <v>419</v>
      </c>
      <c r="B112" s="15" t="s">
        <v>159</v>
      </c>
      <c r="C112" s="15" t="s">
        <v>167</v>
      </c>
      <c r="D112" s="15" t="s">
        <v>209</v>
      </c>
      <c r="E112" s="15" t="s">
        <v>460</v>
      </c>
    </row>
    <row r="113" spans="1:5">
      <c r="A113" s="24" t="s">
        <v>419</v>
      </c>
      <c r="B113" s="15" t="s">
        <v>159</v>
      </c>
      <c r="C113" s="15" t="s">
        <v>169</v>
      </c>
      <c r="D113" s="15" t="s">
        <v>213</v>
      </c>
      <c r="E113" s="15" t="s">
        <v>461</v>
      </c>
    </row>
    <row r="114" spans="1:5">
      <c r="A114" s="24" t="s">
        <v>419</v>
      </c>
      <c r="B114" s="15" t="s">
        <v>159</v>
      </c>
      <c r="C114" s="15" t="s">
        <v>171</v>
      </c>
      <c r="D114" s="15" t="s">
        <v>235</v>
      </c>
      <c r="E114" s="15" t="s">
        <v>462</v>
      </c>
    </row>
    <row r="115" spans="1:5">
      <c r="A115" s="24" t="s">
        <v>463</v>
      </c>
      <c r="B115" s="15" t="s">
        <v>159</v>
      </c>
      <c r="C115" s="15" t="s">
        <v>172</v>
      </c>
      <c r="D115" s="15" t="s">
        <v>170</v>
      </c>
      <c r="E115" s="15" t="s">
        <v>464</v>
      </c>
    </row>
    <row r="116" spans="1:5">
      <c r="A116" s="24" t="s">
        <v>463</v>
      </c>
      <c r="B116" s="15" t="s">
        <v>159</v>
      </c>
      <c r="C116" s="15" t="s">
        <v>173</v>
      </c>
      <c r="D116" s="15" t="s">
        <v>187</v>
      </c>
      <c r="E116" s="15" t="s">
        <v>464</v>
      </c>
    </row>
    <row r="117" spans="1:5">
      <c r="A117" s="24" t="s">
        <v>463</v>
      </c>
      <c r="B117" s="15" t="s">
        <v>159</v>
      </c>
      <c r="C117" s="15" t="s">
        <v>175</v>
      </c>
      <c r="D117" s="15" t="s">
        <v>191</v>
      </c>
      <c r="E117" s="15" t="s">
        <v>464</v>
      </c>
    </row>
    <row r="118" spans="1:5">
      <c r="A118" s="24" t="s">
        <v>463</v>
      </c>
      <c r="B118" s="15" t="s">
        <v>159</v>
      </c>
      <c r="C118" s="15" t="s">
        <v>178</v>
      </c>
      <c r="D118" s="15" t="s">
        <v>194</v>
      </c>
      <c r="E118" s="15" t="s">
        <v>464</v>
      </c>
    </row>
    <row r="119" spans="1:5">
      <c r="A119" s="24" t="s">
        <v>463</v>
      </c>
      <c r="B119" s="15" t="s">
        <v>159</v>
      </c>
      <c r="C119" s="15" t="s">
        <v>180</v>
      </c>
      <c r="D119" s="15" t="s">
        <v>197</v>
      </c>
      <c r="E119" s="15" t="s">
        <v>464</v>
      </c>
    </row>
    <row r="120" spans="1:5">
      <c r="A120" s="24" t="s">
        <v>463</v>
      </c>
      <c r="B120" s="15" t="s">
        <v>159</v>
      </c>
      <c r="C120" s="15" t="s">
        <v>228</v>
      </c>
      <c r="D120" s="15" t="s">
        <v>199</v>
      </c>
      <c r="E120" s="15" t="s">
        <v>464</v>
      </c>
    </row>
    <row r="121" spans="1:5">
      <c r="A121" s="24" t="s">
        <v>463</v>
      </c>
      <c r="B121" s="15" t="s">
        <v>159</v>
      </c>
      <c r="C121" s="15" t="s">
        <v>229</v>
      </c>
      <c r="D121" s="15" t="s">
        <v>335</v>
      </c>
      <c r="E121" s="15" t="s">
        <v>465</v>
      </c>
    </row>
    <row r="122" spans="1:5">
      <c r="A122" s="24" t="s">
        <v>463</v>
      </c>
      <c r="B122" s="15" t="s">
        <v>159</v>
      </c>
      <c r="C122" s="15" t="s">
        <v>230</v>
      </c>
      <c r="D122" s="15" t="s">
        <v>466</v>
      </c>
      <c r="E122" s="15" t="s">
        <v>467</v>
      </c>
    </row>
    <row r="123" spans="1:5">
      <c r="A123" s="24" t="s">
        <v>463</v>
      </c>
      <c r="B123" s="15" t="s">
        <v>159</v>
      </c>
      <c r="C123" s="15" t="s">
        <v>241</v>
      </c>
      <c r="D123" s="15" t="s">
        <v>468</v>
      </c>
      <c r="E123" s="15" t="s">
        <v>469</v>
      </c>
    </row>
    <row r="124" spans="1:5">
      <c r="A124" s="24" t="s">
        <v>463</v>
      </c>
      <c r="B124" s="15" t="s">
        <v>159</v>
      </c>
      <c r="C124" s="15" t="s">
        <v>352</v>
      </c>
      <c r="D124" s="15" t="s">
        <v>470</v>
      </c>
      <c r="E124" s="15" t="s">
        <v>471</v>
      </c>
    </row>
    <row r="125" spans="1:5">
      <c r="A125" s="24" t="s">
        <v>463</v>
      </c>
      <c r="B125" s="15" t="s">
        <v>159</v>
      </c>
      <c r="C125" s="15" t="s">
        <v>354</v>
      </c>
      <c r="D125" s="15" t="s">
        <v>472</v>
      </c>
      <c r="E125" s="15" t="s">
        <v>473</v>
      </c>
    </row>
    <row r="126" spans="1:5">
      <c r="A126" s="24" t="s">
        <v>463</v>
      </c>
      <c r="B126" s="15" t="s">
        <v>159</v>
      </c>
      <c r="C126" s="15" t="s">
        <v>356</v>
      </c>
      <c r="D126" s="15" t="s">
        <v>474</v>
      </c>
      <c r="E126" s="15" t="s">
        <v>475</v>
      </c>
    </row>
    <row r="127" spans="1:5">
      <c r="A127" s="24" t="s">
        <v>463</v>
      </c>
      <c r="B127" s="15" t="s">
        <v>159</v>
      </c>
      <c r="C127" s="15" t="s">
        <v>358</v>
      </c>
      <c r="D127" s="15" t="s">
        <v>425</v>
      </c>
      <c r="E127" s="15" t="s">
        <v>476</v>
      </c>
    </row>
    <row r="128" spans="1:5">
      <c r="A128" s="24" t="s">
        <v>463</v>
      </c>
      <c r="B128" s="15" t="s">
        <v>159</v>
      </c>
      <c r="C128" s="15" t="s">
        <v>360</v>
      </c>
      <c r="D128" s="15" t="s">
        <v>477</v>
      </c>
      <c r="E128" s="15" t="s">
        <v>478</v>
      </c>
    </row>
    <row r="129" spans="1:5">
      <c r="A129" s="24" t="s">
        <v>463</v>
      </c>
      <c r="B129" s="15" t="s">
        <v>161</v>
      </c>
      <c r="C129" s="15" t="s">
        <v>155</v>
      </c>
      <c r="D129" s="15" t="s">
        <v>446</v>
      </c>
      <c r="E129" s="15" t="s">
        <v>479</v>
      </c>
    </row>
    <row r="130" spans="1:5">
      <c r="A130" s="24" t="s">
        <v>463</v>
      </c>
      <c r="B130" s="15" t="s">
        <v>161</v>
      </c>
      <c r="C130" s="15" t="s">
        <v>183</v>
      </c>
      <c r="D130" s="15" t="s">
        <v>292</v>
      </c>
      <c r="E130" s="15" t="s">
        <v>480</v>
      </c>
    </row>
    <row r="131" spans="1:5">
      <c r="A131" s="24" t="s">
        <v>463</v>
      </c>
      <c r="B131" s="15" t="s">
        <v>161</v>
      </c>
      <c r="C131" s="15" t="s">
        <v>185</v>
      </c>
      <c r="D131" s="15" t="s">
        <v>199</v>
      </c>
      <c r="E131" s="15" t="s">
        <v>481</v>
      </c>
    </row>
    <row r="132" spans="1:5">
      <c r="A132" s="24" t="s">
        <v>482</v>
      </c>
      <c r="B132" s="15" t="s">
        <v>163</v>
      </c>
      <c r="C132" s="15" t="s">
        <v>155</v>
      </c>
      <c r="D132" s="15" t="s">
        <v>217</v>
      </c>
      <c r="E132" s="15" t="s">
        <v>483</v>
      </c>
    </row>
    <row r="133" spans="1:5">
      <c r="A133" s="24" t="s">
        <v>482</v>
      </c>
      <c r="B133" s="15" t="s">
        <v>163</v>
      </c>
      <c r="C133" s="15" t="s">
        <v>183</v>
      </c>
      <c r="D133" s="15" t="s">
        <v>250</v>
      </c>
      <c r="E133" s="15" t="s">
        <v>484</v>
      </c>
    </row>
    <row r="134" spans="1:5">
      <c r="A134" s="24" t="s">
        <v>482</v>
      </c>
      <c r="B134" s="15" t="s">
        <v>163</v>
      </c>
      <c r="C134" s="15" t="s">
        <v>185</v>
      </c>
      <c r="D134" s="15" t="s">
        <v>250</v>
      </c>
      <c r="E134" s="15" t="s">
        <v>485</v>
      </c>
    </row>
    <row r="135" spans="1:5">
      <c r="A135" s="24" t="s">
        <v>482</v>
      </c>
      <c r="B135" s="15" t="s">
        <v>163</v>
      </c>
      <c r="C135" s="15" t="s">
        <v>156</v>
      </c>
      <c r="D135" s="15" t="s">
        <v>250</v>
      </c>
      <c r="E135" s="15" t="s">
        <v>486</v>
      </c>
    </row>
    <row r="136" spans="1:5">
      <c r="A136" s="24" t="s">
        <v>482</v>
      </c>
      <c r="B136" s="15" t="s">
        <v>163</v>
      </c>
      <c r="C136" s="15" t="s">
        <v>159</v>
      </c>
      <c r="D136" s="15" t="s">
        <v>250</v>
      </c>
      <c r="E136" s="15" t="s">
        <v>487</v>
      </c>
    </row>
    <row r="137" spans="1:5">
      <c r="A137" s="24" t="s">
        <v>482</v>
      </c>
      <c r="B137" s="15" t="s">
        <v>165</v>
      </c>
      <c r="C137" s="15" t="s">
        <v>155</v>
      </c>
      <c r="D137" s="15" t="s">
        <v>250</v>
      </c>
      <c r="E137" s="15" t="s">
        <v>488</v>
      </c>
    </row>
    <row r="138" spans="1:5">
      <c r="A138" s="24" t="s">
        <v>482</v>
      </c>
      <c r="B138" s="15" t="s">
        <v>165</v>
      </c>
      <c r="C138" s="15" t="s">
        <v>183</v>
      </c>
      <c r="D138" s="15" t="s">
        <v>250</v>
      </c>
      <c r="E138" s="15" t="s">
        <v>489</v>
      </c>
    </row>
    <row r="139" spans="1:5">
      <c r="A139" s="24" t="s">
        <v>482</v>
      </c>
      <c r="B139" s="15" t="s">
        <v>165</v>
      </c>
      <c r="C139" s="15" t="s">
        <v>185</v>
      </c>
      <c r="D139" s="15" t="s">
        <v>250</v>
      </c>
      <c r="E139" s="15" t="s">
        <v>490</v>
      </c>
    </row>
    <row r="140" spans="1:5">
      <c r="A140" s="24" t="s">
        <v>482</v>
      </c>
      <c r="B140" s="15" t="s">
        <v>165</v>
      </c>
      <c r="C140" s="15" t="s">
        <v>156</v>
      </c>
      <c r="D140" s="15" t="s">
        <v>250</v>
      </c>
      <c r="E140" s="15" t="s">
        <v>491</v>
      </c>
    </row>
    <row r="141" spans="1:5">
      <c r="A141" s="24" t="s">
        <v>482</v>
      </c>
      <c r="B141" s="15" t="s">
        <v>165</v>
      </c>
      <c r="C141" s="15" t="s">
        <v>159</v>
      </c>
      <c r="D141" s="15" t="s">
        <v>250</v>
      </c>
      <c r="E141" s="15" t="s">
        <v>492</v>
      </c>
    </row>
    <row r="142" spans="1:5">
      <c r="A142" s="24" t="s">
        <v>493</v>
      </c>
      <c r="B142" s="24" t="s">
        <v>494</v>
      </c>
      <c r="C142" s="15" t="s">
        <v>155</v>
      </c>
      <c r="D142" s="15" t="s">
        <v>250</v>
      </c>
      <c r="E142" s="15" t="s">
        <v>495</v>
      </c>
    </row>
    <row r="143" spans="1:5">
      <c r="A143" s="24" t="s">
        <v>493</v>
      </c>
      <c r="B143" s="24" t="s">
        <v>494</v>
      </c>
      <c r="C143" s="15" t="s">
        <v>183</v>
      </c>
      <c r="D143" s="15" t="s">
        <v>250</v>
      </c>
      <c r="E143" s="15" t="s">
        <v>496</v>
      </c>
    </row>
    <row r="144" spans="1:5">
      <c r="A144" s="24" t="s">
        <v>493</v>
      </c>
      <c r="B144" s="24" t="s">
        <v>494</v>
      </c>
      <c r="C144" s="15" t="s">
        <v>185</v>
      </c>
      <c r="D144" s="15" t="s">
        <v>250</v>
      </c>
      <c r="E144" s="15" t="s">
        <v>497</v>
      </c>
    </row>
    <row r="145" spans="1:5">
      <c r="A145" s="24" t="s">
        <v>493</v>
      </c>
      <c r="B145" s="24" t="s">
        <v>494</v>
      </c>
      <c r="C145" s="15" t="s">
        <v>156</v>
      </c>
      <c r="D145" s="15" t="s">
        <v>250</v>
      </c>
      <c r="E145" s="15" t="s">
        <v>498</v>
      </c>
    </row>
    <row r="146" spans="1:5">
      <c r="A146" s="24" t="s">
        <v>493</v>
      </c>
      <c r="B146" s="24" t="s">
        <v>494</v>
      </c>
      <c r="C146" s="15" t="s">
        <v>159</v>
      </c>
      <c r="D146" s="15" t="s">
        <v>250</v>
      </c>
      <c r="E146" s="15" t="s">
        <v>499</v>
      </c>
    </row>
    <row r="147" spans="1:5">
      <c r="A147" s="24" t="s">
        <v>493</v>
      </c>
      <c r="B147" s="24" t="s">
        <v>494</v>
      </c>
      <c r="C147" s="15" t="s">
        <v>161</v>
      </c>
      <c r="D147" s="15" t="s">
        <v>250</v>
      </c>
      <c r="E147" s="15" t="s">
        <v>500</v>
      </c>
    </row>
    <row r="148" spans="1:5">
      <c r="A148" s="24" t="s">
        <v>493</v>
      </c>
      <c r="B148" s="24" t="s">
        <v>494</v>
      </c>
      <c r="C148" s="15" t="s">
        <v>163</v>
      </c>
      <c r="D148" s="15" t="s">
        <v>250</v>
      </c>
      <c r="E148" s="15" t="s">
        <v>500</v>
      </c>
    </row>
    <row r="149" spans="1:5">
      <c r="A149" s="24" t="s">
        <v>493</v>
      </c>
      <c r="B149" s="24" t="s">
        <v>494</v>
      </c>
      <c r="C149" s="15" t="s">
        <v>165</v>
      </c>
      <c r="D149" s="15" t="s">
        <v>250</v>
      </c>
      <c r="E149" s="15" t="s">
        <v>500</v>
      </c>
    </row>
    <row r="150" spans="1:5">
      <c r="A150" s="24" t="s">
        <v>493</v>
      </c>
      <c r="B150" s="24" t="s">
        <v>494</v>
      </c>
      <c r="C150" s="15" t="s">
        <v>167</v>
      </c>
      <c r="D150" s="15" t="s">
        <v>250</v>
      </c>
      <c r="E150" s="15" t="s">
        <v>500</v>
      </c>
    </row>
    <row r="151" spans="1:5">
      <c r="A151" s="24" t="s">
        <v>493</v>
      </c>
      <c r="B151" s="24" t="s">
        <v>494</v>
      </c>
      <c r="C151" s="15" t="s">
        <v>169</v>
      </c>
      <c r="D151" s="15" t="s">
        <v>250</v>
      </c>
      <c r="E151" s="15" t="s">
        <v>500</v>
      </c>
    </row>
    <row r="152" spans="1:5">
      <c r="A152" s="24" t="s">
        <v>493</v>
      </c>
      <c r="B152" s="24" t="s">
        <v>494</v>
      </c>
      <c r="C152" s="15" t="s">
        <v>171</v>
      </c>
      <c r="D152" s="15" t="s">
        <v>250</v>
      </c>
      <c r="E152" s="15" t="s">
        <v>500</v>
      </c>
    </row>
    <row r="153" spans="1:5">
      <c r="A153" s="24" t="s">
        <v>493</v>
      </c>
      <c r="B153" s="24" t="s">
        <v>494</v>
      </c>
      <c r="C153" s="15" t="s">
        <v>172</v>
      </c>
      <c r="D153" s="15" t="s">
        <v>250</v>
      </c>
      <c r="E153" s="15" t="s">
        <v>500</v>
      </c>
    </row>
    <row r="154" spans="1:5">
      <c r="A154" s="24" t="s">
        <v>493</v>
      </c>
      <c r="B154" s="24" t="s">
        <v>494</v>
      </c>
      <c r="C154" s="15" t="s">
        <v>173</v>
      </c>
      <c r="D154" s="15" t="s">
        <v>250</v>
      </c>
      <c r="E154" s="15" t="s">
        <v>500</v>
      </c>
    </row>
    <row r="155" spans="1:5">
      <c r="A155" s="24" t="s">
        <v>493</v>
      </c>
      <c r="B155" s="24" t="s">
        <v>494</v>
      </c>
      <c r="C155" s="15" t="s">
        <v>175</v>
      </c>
      <c r="D155" s="15" t="s">
        <v>250</v>
      </c>
      <c r="E155" s="15" t="s">
        <v>500</v>
      </c>
    </row>
    <row r="156" spans="1:5">
      <c r="A156" s="24" t="s">
        <v>493</v>
      </c>
      <c r="B156" s="24" t="s">
        <v>494</v>
      </c>
      <c r="C156" s="15" t="s">
        <v>178</v>
      </c>
      <c r="D156" s="15" t="s">
        <v>250</v>
      </c>
      <c r="E156" s="15" t="s">
        <v>500</v>
      </c>
    </row>
    <row r="157" spans="1:5">
      <c r="A157" s="24" t="s">
        <v>493</v>
      </c>
      <c r="B157" s="24" t="s">
        <v>494</v>
      </c>
      <c r="C157" s="15" t="s">
        <v>180</v>
      </c>
      <c r="D157" s="15" t="s">
        <v>250</v>
      </c>
      <c r="E157" s="15" t="s">
        <v>500</v>
      </c>
    </row>
    <row r="158" spans="1:5">
      <c r="A158" s="24" t="s">
        <v>493</v>
      </c>
      <c r="B158" s="24" t="s">
        <v>494</v>
      </c>
      <c r="C158" s="15" t="s">
        <v>228</v>
      </c>
      <c r="D158" s="15" t="s">
        <v>235</v>
      </c>
      <c r="E158" s="15" t="s">
        <v>500</v>
      </c>
    </row>
    <row r="159" spans="1:5">
      <c r="A159" s="24" t="s">
        <v>493</v>
      </c>
      <c r="B159" s="24" t="s">
        <v>494</v>
      </c>
      <c r="C159" s="15" t="s">
        <v>229</v>
      </c>
      <c r="D159" s="15" t="s">
        <v>238</v>
      </c>
      <c r="E159" s="15" t="s">
        <v>500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Aspen Reynolds</cp:lastModifiedBy>
  <cp:revision/>
  <dcterms:created xsi:type="dcterms:W3CDTF">2026-01-20T23:39:46Z</dcterms:created>
  <dcterms:modified xsi:type="dcterms:W3CDTF">2026-04-21T23:20:07Z</dcterms:modified>
  <cp:category/>
  <cp:contentStatus/>
</cp:coreProperties>
</file>